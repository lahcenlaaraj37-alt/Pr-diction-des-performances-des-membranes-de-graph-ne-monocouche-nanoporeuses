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PFE\DATA final\"/>
    </mc:Choice>
  </mc:AlternateContent>
  <bookViews>
    <workbookView xWindow="0" yWindow="0" windowWidth="20490" windowHeight="8310"/>
  </bookViews>
  <sheets>
    <sheet name="Feuil1" sheetId="1" r:id="rId1"/>
  </sheets>
  <definedNames>
    <definedName name="_xlnm._FilterDatabase" localSheetId="0" hidden="1">Feuil1!$A$1:$A$466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52" i="1" l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<sst xmlns="http://schemas.openxmlformats.org/spreadsheetml/2006/main" count="1406" uniqueCount="48">
  <si>
    <t>Pore Area (Å²)</t>
  </si>
  <si>
    <t>Applied pressure  (MPa)</t>
  </si>
  <si>
    <t>Feed Concentration  (ppm)</t>
  </si>
  <si>
    <t>Pore Chemistry (Functionalization)</t>
  </si>
  <si>
    <t>Porosity (%)</t>
  </si>
  <si>
    <t>Salt Rejection (%)</t>
  </si>
  <si>
    <t>DOI</t>
  </si>
  <si>
    <t>log(flux+1)</t>
  </si>
  <si>
    <t>Hexagonal</t>
  </si>
  <si>
    <t>OH</t>
  </si>
  <si>
    <t>H</t>
  </si>
  <si>
    <t>Circular</t>
  </si>
  <si>
    <t>2-Methyl</t>
  </si>
  <si>
    <t>1-Ethyl</t>
  </si>
  <si>
    <t>4F4H</t>
  </si>
  <si>
    <t>4-Methyl</t>
  </si>
  <si>
    <t>2-Ethyl</t>
  </si>
  <si>
    <t>8F8H</t>
  </si>
  <si>
    <t>SiH2</t>
  </si>
  <si>
    <t>Si(OH)2</t>
  </si>
  <si>
    <t>FH</t>
  </si>
  <si>
    <t>N</t>
  </si>
  <si>
    <t>NH</t>
  </si>
  <si>
    <t>NO</t>
  </si>
  <si>
    <t>B</t>
  </si>
  <si>
    <t>Ozark</t>
  </si>
  <si>
    <t>Pristine</t>
  </si>
  <si>
    <t xml:space="preserve">Circular </t>
  </si>
  <si>
    <t>Triangular</t>
  </si>
  <si>
    <t>Rhombic</t>
  </si>
  <si>
    <t>Si</t>
  </si>
  <si>
    <r>
      <t>Hexagonal</t>
    </r>
    <r>
      <rPr>
        <sz val="12"/>
        <color theme="1"/>
        <rFont val="Times New Roman"/>
        <family val="1"/>
      </rPr>
      <t xml:space="preserve"> </t>
    </r>
  </si>
  <si>
    <t>10,1021/nl3012853</t>
  </si>
  <si>
    <t>10,1063/1,5143069</t>
  </si>
  <si>
    <t>10,2166/wst,2024,334</t>
  </si>
  <si>
    <t>10,1016/j,molliq,2020,112478</t>
  </si>
  <si>
    <t>10,1021/acs,jctc,8b00226</t>
  </si>
  <si>
    <t>10,1021/acsnano,1c05345</t>
  </si>
  <si>
    <t>10,1021/acs,jpcb,1c06327</t>
  </si>
  <si>
    <t>10,1016/j,commatsci,2016,07,036</t>
  </si>
  <si>
    <t>10,1016/j,carbon,2017,01,099</t>
  </si>
  <si>
    <t>10,1038/s41699-021-00246-9</t>
  </si>
  <si>
    <t>10,1039/C7NR07963J1</t>
  </si>
  <si>
    <t>10,1007/s11242-022-01870-9</t>
  </si>
  <si>
    <t>COO⁻</t>
  </si>
  <si>
    <t>Geometry</t>
  </si>
  <si>
    <t>Temperature  (°C)</t>
  </si>
  <si>
    <t>Water Flux (molecule/ns)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</si>
</sst>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2"/>
      <color rgb="FF0F1115"/>
      <name val="Times New Roman"/>
      <family val="1"/>
    </font>
    <font>
      <sz val="12"/>
      <color rgb="FF0F1115"/>
      <name val="Calibri"/>
      <family val="2"/>
      <scheme val="minor"/>
    </font>
    <font>
      <sz val="12"/>
      <color rgb="FF1F1F1F"/>
      <name val="Times New Roman"/>
      <family val="1"/>
    </font>
    <font>
      <sz val="12"/>
      <color rgb="FF2C2C2C"/>
      <name val="Times New Roman"/>
      <family val="1"/>
    </font>
    <font>
      <sz val="12"/>
      <color rgb="FF0F1115"/>
      <name val="Segoe UI"/>
      <family val="2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303030"/>
      <name val="Times New Roman"/>
      <family val="1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2" fontId="2" fillId="3" borderId="4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2" fontId="2" fillId="3" borderId="7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0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2" fontId="5" fillId="3" borderId="7" xfId="0" applyNumberFormat="1" applyFont="1" applyFill="1" applyBorder="1" applyAlignment="1">
      <alignment horizontal="center" vertical="center" wrapText="1"/>
    </xf>
    <xf numFmtId="2" fontId="5" fillId="3" borderId="0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3" fontId="7" fillId="0" borderId="9" xfId="0" applyNumberFormat="1" applyFont="1" applyBorder="1" applyAlignment="1">
      <alignment horizontal="center" vertical="center" wrapText="1"/>
    </xf>
    <xf numFmtId="2" fontId="7" fillId="3" borderId="7" xfId="0" applyNumberFormat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3" fontId="7" fillId="0" borderId="6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3" fontId="7" fillId="0" borderId="10" xfId="0" applyNumberFormat="1" applyFont="1" applyBorder="1" applyAlignment="1">
      <alignment horizontal="center" vertical="center" wrapText="1"/>
    </xf>
    <xf numFmtId="2" fontId="7" fillId="3" borderId="0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2" fontId="7" fillId="3" borderId="4" xfId="0" applyNumberFormat="1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2" fontId="4" fillId="3" borderId="11" xfId="0" applyNumberFormat="1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2" fontId="4" fillId="3" borderId="7" xfId="0" applyNumberFormat="1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2" fontId="10" fillId="3" borderId="11" xfId="0" applyNumberFormat="1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2" fontId="10" fillId="3" borderId="7" xfId="0" applyNumberFormat="1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2" fontId="2" fillId="3" borderId="11" xfId="0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2" fontId="2" fillId="3" borderId="0" xfId="0" applyNumberFormat="1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2" fontId="0" fillId="3" borderId="4" xfId="0" applyNumberFormat="1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>
      <alignment horizontal="center" vertical="center" wrapText="1"/>
    </xf>
    <xf numFmtId="3" fontId="14" fillId="5" borderId="9" xfId="0" applyNumberFormat="1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3" fontId="14" fillId="5" borderId="6" xfId="0" applyNumberFormat="1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6"/>
  <sheetViews>
    <sheetView tabSelected="1" workbookViewId="0">
      <selection activeCell="H1" sqref="H1"/>
    </sheetView>
  </sheetViews>
  <sheetFormatPr baseColWidth="10" defaultRowHeight="15" x14ac:dyDescent="0.25"/>
  <cols>
    <col min="1" max="11" width="19.140625" customWidth="1"/>
  </cols>
  <sheetData>
    <row r="1" spans="1:11" ht="31.5" x14ac:dyDescent="0.25">
      <c r="A1" s="1" t="s">
        <v>45</v>
      </c>
      <c r="B1" s="2" t="s">
        <v>0</v>
      </c>
      <c r="C1" s="3" t="s">
        <v>1</v>
      </c>
      <c r="D1" s="3" t="s">
        <v>2</v>
      </c>
      <c r="E1" s="3" t="s">
        <v>46</v>
      </c>
      <c r="F1" s="3" t="s">
        <v>3</v>
      </c>
      <c r="G1" s="3" t="s">
        <v>4</v>
      </c>
      <c r="H1" s="4" t="s">
        <v>47</v>
      </c>
      <c r="I1" s="5" t="s">
        <v>5</v>
      </c>
      <c r="J1" s="3" t="s">
        <v>6</v>
      </c>
      <c r="K1" s="6" t="s">
        <v>7</v>
      </c>
    </row>
    <row r="2" spans="1:11" ht="16.5" thickBot="1" x14ac:dyDescent="0.3">
      <c r="A2" s="7" t="s">
        <v>8</v>
      </c>
      <c r="B2" s="8">
        <v>16.3</v>
      </c>
      <c r="C2" s="8">
        <v>100</v>
      </c>
      <c r="D2" s="8">
        <v>72000</v>
      </c>
      <c r="E2" s="8">
        <v>27</v>
      </c>
      <c r="F2" s="8" t="s">
        <v>9</v>
      </c>
      <c r="G2" s="8">
        <v>10</v>
      </c>
      <c r="H2" s="9">
        <v>30.928000000000001</v>
      </c>
      <c r="I2" s="10">
        <v>99.838800000000006</v>
      </c>
      <c r="J2" s="11" t="s">
        <v>32</v>
      </c>
      <c r="K2" s="12">
        <f>LOG(H2+1)</f>
        <v>1.5041717147759668</v>
      </c>
    </row>
    <row r="3" spans="1:11" ht="16.5" thickBot="1" x14ac:dyDescent="0.3">
      <c r="A3" s="7" t="s">
        <v>8</v>
      </c>
      <c r="B3" s="8">
        <v>16.3</v>
      </c>
      <c r="C3" s="8">
        <v>100</v>
      </c>
      <c r="D3" s="8">
        <v>72000</v>
      </c>
      <c r="E3" s="8">
        <v>27</v>
      </c>
      <c r="F3" s="8" t="s">
        <v>9</v>
      </c>
      <c r="G3" s="8">
        <v>10</v>
      </c>
      <c r="H3" s="9">
        <v>30.927499999999998</v>
      </c>
      <c r="I3" s="10">
        <v>99.838800000000006</v>
      </c>
      <c r="J3" s="13" t="s">
        <v>32</v>
      </c>
      <c r="K3" s="12">
        <f t="shared" ref="K3:K66" si="0">LOG(H3+1)</f>
        <v>1.5041649135688364</v>
      </c>
    </row>
    <row r="4" spans="1:11" ht="16.5" thickBot="1" x14ac:dyDescent="0.3">
      <c r="A4" s="7" t="s">
        <v>8</v>
      </c>
      <c r="B4" s="8">
        <v>16.3</v>
      </c>
      <c r="C4" s="8">
        <v>100</v>
      </c>
      <c r="D4" s="8">
        <v>72000</v>
      </c>
      <c r="E4" s="8">
        <v>27</v>
      </c>
      <c r="F4" s="8" t="s">
        <v>9</v>
      </c>
      <c r="G4" s="8">
        <v>10</v>
      </c>
      <c r="H4" s="9">
        <v>38.14</v>
      </c>
      <c r="I4" s="10">
        <v>96.5959</v>
      </c>
      <c r="J4" s="13" t="s">
        <v>32</v>
      </c>
      <c r="K4" s="12">
        <f t="shared" si="0"/>
        <v>1.5926208213219823</v>
      </c>
    </row>
    <row r="5" spans="1:11" ht="16.5" thickBot="1" x14ac:dyDescent="0.3">
      <c r="A5" s="7" t="s">
        <v>8</v>
      </c>
      <c r="B5" s="8">
        <v>16.3</v>
      </c>
      <c r="C5" s="8">
        <v>100</v>
      </c>
      <c r="D5" s="8">
        <v>72000</v>
      </c>
      <c r="E5" s="8">
        <v>27</v>
      </c>
      <c r="F5" s="8" t="s">
        <v>9</v>
      </c>
      <c r="G5" s="8">
        <v>10</v>
      </c>
      <c r="H5" s="9">
        <v>47.423000000000002</v>
      </c>
      <c r="I5" s="10">
        <v>98.679299999999998</v>
      </c>
      <c r="J5" s="13" t="s">
        <v>32</v>
      </c>
      <c r="K5" s="12">
        <f t="shared" si="0"/>
        <v>1.6850516922326335</v>
      </c>
    </row>
    <row r="6" spans="1:11" ht="16.5" thickBot="1" x14ac:dyDescent="0.3">
      <c r="A6" s="7" t="s">
        <v>8</v>
      </c>
      <c r="B6" s="8">
        <v>16.3</v>
      </c>
      <c r="C6" s="8">
        <v>100</v>
      </c>
      <c r="D6" s="8">
        <v>72000</v>
      </c>
      <c r="E6" s="8">
        <v>27</v>
      </c>
      <c r="F6" s="8" t="s">
        <v>9</v>
      </c>
      <c r="G6" s="8">
        <v>10</v>
      </c>
      <c r="H6" s="9">
        <v>54.639499999999998</v>
      </c>
      <c r="I6" s="10">
        <v>98.679299999999998</v>
      </c>
      <c r="J6" s="13" t="s">
        <v>32</v>
      </c>
      <c r="K6" s="12">
        <f t="shared" si="0"/>
        <v>1.7453832185842677</v>
      </c>
    </row>
    <row r="7" spans="1:11" ht="16.5" thickBot="1" x14ac:dyDescent="0.3">
      <c r="A7" s="7" t="s">
        <v>8</v>
      </c>
      <c r="B7" s="8">
        <v>27.7</v>
      </c>
      <c r="C7" s="8">
        <v>150</v>
      </c>
      <c r="D7" s="8">
        <v>72000</v>
      </c>
      <c r="E7" s="8">
        <v>27</v>
      </c>
      <c r="F7" s="8" t="s">
        <v>9</v>
      </c>
      <c r="G7" s="8">
        <v>10</v>
      </c>
      <c r="H7" s="9">
        <v>60.825000000000003</v>
      </c>
      <c r="I7" s="10">
        <v>95.184200000000004</v>
      </c>
      <c r="J7" s="13" t="s">
        <v>32</v>
      </c>
      <c r="K7" s="12">
        <f t="shared" si="0"/>
        <v>1.791164125033335</v>
      </c>
    </row>
    <row r="8" spans="1:11" ht="16.5" thickBot="1" x14ac:dyDescent="0.3">
      <c r="A8" s="7" t="s">
        <v>8</v>
      </c>
      <c r="B8" s="8">
        <v>27.7</v>
      </c>
      <c r="C8" s="8">
        <v>150</v>
      </c>
      <c r="D8" s="8">
        <v>72000</v>
      </c>
      <c r="E8" s="8">
        <v>27</v>
      </c>
      <c r="F8" s="8" t="s">
        <v>9</v>
      </c>
      <c r="G8" s="8">
        <v>10</v>
      </c>
      <c r="H8" s="9">
        <v>72.165000000000006</v>
      </c>
      <c r="I8" s="10">
        <v>96.931799999999996</v>
      </c>
      <c r="J8" s="13" t="s">
        <v>32</v>
      </c>
      <c r="K8" s="12">
        <f t="shared" si="0"/>
        <v>1.864303376933002</v>
      </c>
    </row>
    <row r="9" spans="1:11" ht="16.5" thickBot="1" x14ac:dyDescent="0.3">
      <c r="A9" s="7" t="s">
        <v>8</v>
      </c>
      <c r="B9" s="8">
        <v>27.7</v>
      </c>
      <c r="C9" s="8">
        <v>150</v>
      </c>
      <c r="D9" s="8">
        <v>72000</v>
      </c>
      <c r="E9" s="8">
        <v>27</v>
      </c>
      <c r="F9" s="8" t="s">
        <v>9</v>
      </c>
      <c r="G9" s="8">
        <v>10</v>
      </c>
      <c r="H9" s="9">
        <v>89.6905</v>
      </c>
      <c r="I9" s="10">
        <v>96.931700000000006</v>
      </c>
      <c r="J9" s="13" t="s">
        <v>32</v>
      </c>
      <c r="K9" s="12">
        <f t="shared" si="0"/>
        <v>1.9575617962810097</v>
      </c>
    </row>
    <row r="10" spans="1:11" ht="16.5" thickBot="1" x14ac:dyDescent="0.3">
      <c r="A10" s="7" t="s">
        <v>8</v>
      </c>
      <c r="B10" s="8">
        <v>27.7</v>
      </c>
      <c r="C10" s="8">
        <v>150</v>
      </c>
      <c r="D10" s="8">
        <v>72000</v>
      </c>
      <c r="E10" s="8">
        <v>27</v>
      </c>
      <c r="F10" s="8" t="s">
        <v>9</v>
      </c>
      <c r="G10" s="8">
        <v>10</v>
      </c>
      <c r="H10" s="9">
        <v>108.2475</v>
      </c>
      <c r="I10" s="10">
        <v>90.830100000000002</v>
      </c>
      <c r="J10" s="13" t="s">
        <v>32</v>
      </c>
      <c r="K10" s="12">
        <f t="shared" si="0"/>
        <v>2.0384115074399189</v>
      </c>
    </row>
    <row r="11" spans="1:11" ht="16.5" thickBot="1" x14ac:dyDescent="0.3">
      <c r="A11" s="7" t="s">
        <v>8</v>
      </c>
      <c r="B11" s="8">
        <v>27.7</v>
      </c>
      <c r="C11" s="8">
        <v>150</v>
      </c>
      <c r="D11" s="8">
        <v>72000</v>
      </c>
      <c r="E11" s="8">
        <v>27</v>
      </c>
      <c r="F11" s="8" t="s">
        <v>9</v>
      </c>
      <c r="G11" s="8">
        <v>10</v>
      </c>
      <c r="H11" s="9">
        <v>111.34</v>
      </c>
      <c r="I11" s="10">
        <v>99.236099999999993</v>
      </c>
      <c r="J11" s="13" t="s">
        <v>32</v>
      </c>
      <c r="K11" s="12">
        <f t="shared" si="0"/>
        <v>2.0505344195401234</v>
      </c>
    </row>
    <row r="12" spans="1:11" ht="16.5" thickBot="1" x14ac:dyDescent="0.3">
      <c r="A12" s="7" t="s">
        <v>8</v>
      </c>
      <c r="B12" s="8">
        <v>62.1</v>
      </c>
      <c r="C12" s="8">
        <v>100</v>
      </c>
      <c r="D12" s="8">
        <v>72000</v>
      </c>
      <c r="E12" s="8">
        <v>27</v>
      </c>
      <c r="F12" s="8" t="s">
        <v>9</v>
      </c>
      <c r="G12" s="8">
        <v>10</v>
      </c>
      <c r="H12" s="9">
        <v>252.57749999999999</v>
      </c>
      <c r="I12" s="10">
        <v>46.280200000000001</v>
      </c>
      <c r="J12" s="13" t="s">
        <v>32</v>
      </c>
      <c r="K12" s="12">
        <f t="shared" si="0"/>
        <v>2.4041107158526387</v>
      </c>
    </row>
    <row r="13" spans="1:11" ht="16.5" thickBot="1" x14ac:dyDescent="0.3">
      <c r="A13" s="7" t="s">
        <v>8</v>
      </c>
      <c r="B13" s="8">
        <v>62.1</v>
      </c>
      <c r="C13" s="8">
        <v>100</v>
      </c>
      <c r="D13" s="8">
        <v>72000</v>
      </c>
      <c r="E13" s="8">
        <v>27</v>
      </c>
      <c r="F13" s="8" t="s">
        <v>9</v>
      </c>
      <c r="G13" s="8">
        <v>10</v>
      </c>
      <c r="H13" s="9">
        <v>252.57749999999999</v>
      </c>
      <c r="I13" s="10">
        <v>46.280200000000001</v>
      </c>
      <c r="J13" s="13" t="s">
        <v>32</v>
      </c>
      <c r="K13" s="12">
        <f t="shared" si="0"/>
        <v>2.4041107158526387</v>
      </c>
    </row>
    <row r="14" spans="1:11" ht="16.5" thickBot="1" x14ac:dyDescent="0.3">
      <c r="A14" s="7" t="s">
        <v>8</v>
      </c>
      <c r="B14" s="8">
        <v>62.1</v>
      </c>
      <c r="C14" s="8">
        <v>125</v>
      </c>
      <c r="D14" s="8">
        <v>72000</v>
      </c>
      <c r="E14" s="8">
        <v>27</v>
      </c>
      <c r="F14" s="8" t="s">
        <v>9</v>
      </c>
      <c r="G14" s="8">
        <v>10</v>
      </c>
      <c r="H14" s="9">
        <v>319.58749999999998</v>
      </c>
      <c r="I14" s="10">
        <v>46.280200000000001</v>
      </c>
      <c r="J14" s="13" t="s">
        <v>32</v>
      </c>
      <c r="K14" s="12">
        <f t="shared" si="0"/>
        <v>2.505946584808965</v>
      </c>
    </row>
    <row r="15" spans="1:11" ht="16.5" thickBot="1" x14ac:dyDescent="0.3">
      <c r="A15" s="7" t="s">
        <v>8</v>
      </c>
      <c r="B15" s="8">
        <v>62.1</v>
      </c>
      <c r="C15" s="8">
        <v>200</v>
      </c>
      <c r="D15" s="8">
        <v>72000</v>
      </c>
      <c r="E15" s="8">
        <v>27</v>
      </c>
      <c r="F15" s="8" t="s">
        <v>9</v>
      </c>
      <c r="G15" s="8">
        <v>10</v>
      </c>
      <c r="H15" s="9">
        <v>386.59750000000003</v>
      </c>
      <c r="I15" s="10">
        <v>46.280200000000001</v>
      </c>
      <c r="J15" s="13" t="s">
        <v>32</v>
      </c>
      <c r="K15" s="12">
        <f t="shared" si="0"/>
        <v>2.5883809671926952</v>
      </c>
    </row>
    <row r="16" spans="1:11" ht="16.5" thickBot="1" x14ac:dyDescent="0.3">
      <c r="A16" s="7" t="s">
        <v>8</v>
      </c>
      <c r="B16" s="8">
        <v>62.1</v>
      </c>
      <c r="C16" s="8">
        <v>150</v>
      </c>
      <c r="D16" s="8">
        <v>72000</v>
      </c>
      <c r="E16" s="8">
        <v>27</v>
      </c>
      <c r="F16" s="8" t="s">
        <v>9</v>
      </c>
      <c r="G16" s="8">
        <v>10</v>
      </c>
      <c r="H16" s="9">
        <v>360.82499999999999</v>
      </c>
      <c r="I16" s="10">
        <v>46.280200000000001</v>
      </c>
      <c r="J16" s="13" t="s">
        <v>32</v>
      </c>
      <c r="K16" s="12">
        <f t="shared" si="0"/>
        <v>2.5584985707795957</v>
      </c>
    </row>
    <row r="17" spans="1:11" ht="16.5" thickBot="1" x14ac:dyDescent="0.3">
      <c r="A17" s="7" t="s">
        <v>8</v>
      </c>
      <c r="B17" s="14">
        <v>4</v>
      </c>
      <c r="C17" s="8">
        <v>100</v>
      </c>
      <c r="D17" s="8">
        <v>72000</v>
      </c>
      <c r="E17" s="8">
        <v>27</v>
      </c>
      <c r="F17" s="8" t="s">
        <v>10</v>
      </c>
      <c r="G17" s="8">
        <v>10</v>
      </c>
      <c r="H17" s="15">
        <v>1.1499999999999999</v>
      </c>
      <c r="I17" s="10">
        <v>96.653499999999994</v>
      </c>
      <c r="J17" s="13" t="s">
        <v>32</v>
      </c>
      <c r="K17" s="12">
        <f t="shared" si="0"/>
        <v>0.33243845991560533</v>
      </c>
    </row>
    <row r="18" spans="1:11" ht="16.5" thickBot="1" x14ac:dyDescent="0.3">
      <c r="A18" s="7" t="s">
        <v>8</v>
      </c>
      <c r="B18" s="14">
        <v>8</v>
      </c>
      <c r="C18" s="8">
        <v>100</v>
      </c>
      <c r="D18" s="8">
        <v>72000</v>
      </c>
      <c r="E18" s="8">
        <v>27</v>
      </c>
      <c r="F18" s="8" t="s">
        <v>10</v>
      </c>
      <c r="G18" s="8">
        <v>10</v>
      </c>
      <c r="H18" s="15">
        <v>3.74</v>
      </c>
      <c r="I18" s="10">
        <v>98.679299999999998</v>
      </c>
      <c r="J18" s="13" t="s">
        <v>32</v>
      </c>
      <c r="K18" s="12">
        <f t="shared" si="0"/>
        <v>0.67577834167408513</v>
      </c>
    </row>
    <row r="19" spans="1:11" ht="16.5" thickBot="1" x14ac:dyDescent="0.3">
      <c r="A19" s="7" t="s">
        <v>8</v>
      </c>
      <c r="B19" s="14">
        <v>12</v>
      </c>
      <c r="C19" s="8">
        <v>100</v>
      </c>
      <c r="D19" s="8">
        <v>72000</v>
      </c>
      <c r="E19" s="8">
        <v>27</v>
      </c>
      <c r="F19" s="8" t="s">
        <v>10</v>
      </c>
      <c r="G19" s="8">
        <v>10</v>
      </c>
      <c r="H19" s="15">
        <v>7.77</v>
      </c>
      <c r="I19" s="10">
        <v>99.263400000000004</v>
      </c>
      <c r="J19" s="13" t="s">
        <v>32</v>
      </c>
      <c r="K19" s="12">
        <f t="shared" si="0"/>
        <v>0.94299959336604045</v>
      </c>
    </row>
    <row r="20" spans="1:11" ht="16.5" thickBot="1" x14ac:dyDescent="0.3">
      <c r="A20" s="7" t="s">
        <v>8</v>
      </c>
      <c r="B20" s="14">
        <v>16</v>
      </c>
      <c r="C20" s="8">
        <v>100</v>
      </c>
      <c r="D20" s="8">
        <v>72000</v>
      </c>
      <c r="E20" s="8">
        <v>27</v>
      </c>
      <c r="F20" s="8" t="s">
        <v>10</v>
      </c>
      <c r="G20" s="8">
        <v>10</v>
      </c>
      <c r="H20" s="15">
        <v>13.24</v>
      </c>
      <c r="I20" s="10">
        <v>97.200900000000004</v>
      </c>
      <c r="J20" s="13" t="s">
        <v>32</v>
      </c>
      <c r="K20" s="12">
        <f t="shared" si="0"/>
        <v>1.1535099893008376</v>
      </c>
    </row>
    <row r="21" spans="1:11" ht="16.5" thickBot="1" x14ac:dyDescent="0.3">
      <c r="A21" s="7" t="s">
        <v>8</v>
      </c>
      <c r="B21" s="14">
        <v>20</v>
      </c>
      <c r="C21" s="8">
        <v>100</v>
      </c>
      <c r="D21" s="8">
        <v>72000</v>
      </c>
      <c r="E21" s="8">
        <v>27</v>
      </c>
      <c r="F21" s="8" t="s">
        <v>10</v>
      </c>
      <c r="G21" s="8">
        <v>10</v>
      </c>
      <c r="H21" s="15">
        <v>20.149999999999999</v>
      </c>
      <c r="I21" s="10">
        <v>97.838200000000001</v>
      </c>
      <c r="J21" s="13" t="s">
        <v>32</v>
      </c>
      <c r="K21" s="12">
        <f t="shared" si="0"/>
        <v>1.325310371711061</v>
      </c>
    </row>
    <row r="22" spans="1:11" ht="16.5" thickBot="1" x14ac:dyDescent="0.3">
      <c r="A22" s="7" t="s">
        <v>8</v>
      </c>
      <c r="B22" s="14">
        <v>24</v>
      </c>
      <c r="C22" s="8">
        <v>100</v>
      </c>
      <c r="D22" s="8">
        <v>72000</v>
      </c>
      <c r="E22" s="8">
        <v>27</v>
      </c>
      <c r="F22" s="8" t="s">
        <v>10</v>
      </c>
      <c r="G22" s="8">
        <v>10</v>
      </c>
      <c r="H22" s="15">
        <v>28.5</v>
      </c>
      <c r="I22" s="10">
        <v>98.863200000000006</v>
      </c>
      <c r="J22" s="13" t="s">
        <v>32</v>
      </c>
      <c r="K22" s="12">
        <f t="shared" si="0"/>
        <v>1.469822015978163</v>
      </c>
    </row>
    <row r="23" spans="1:11" ht="16.5" thickBot="1" x14ac:dyDescent="0.3">
      <c r="A23" s="7" t="s">
        <v>8</v>
      </c>
      <c r="B23" s="14">
        <v>28</v>
      </c>
      <c r="C23" s="8">
        <v>100</v>
      </c>
      <c r="D23" s="8">
        <v>72000</v>
      </c>
      <c r="E23" s="8">
        <v>27</v>
      </c>
      <c r="F23" s="8" t="s">
        <v>10</v>
      </c>
      <c r="G23" s="8">
        <v>10</v>
      </c>
      <c r="H23" s="15">
        <v>38.29</v>
      </c>
      <c r="I23" s="10">
        <v>95.668400000000005</v>
      </c>
      <c r="J23" s="13" t="s">
        <v>32</v>
      </c>
      <c r="K23" s="12">
        <f t="shared" si="0"/>
        <v>1.594282028811806</v>
      </c>
    </row>
    <row r="24" spans="1:11" ht="16.5" thickBot="1" x14ac:dyDescent="0.3">
      <c r="A24" s="7" t="s">
        <v>8</v>
      </c>
      <c r="B24" s="14">
        <v>32</v>
      </c>
      <c r="C24" s="8">
        <v>100</v>
      </c>
      <c r="D24" s="8">
        <v>72000</v>
      </c>
      <c r="E24" s="8">
        <v>27</v>
      </c>
      <c r="F24" s="8" t="s">
        <v>10</v>
      </c>
      <c r="G24" s="8">
        <v>10</v>
      </c>
      <c r="H24" s="15">
        <v>49.52</v>
      </c>
      <c r="I24" s="10">
        <v>51.447299999999998</v>
      </c>
      <c r="J24" s="13" t="s">
        <v>32</v>
      </c>
      <c r="K24" s="12">
        <f t="shared" si="0"/>
        <v>1.7034633418832932</v>
      </c>
    </row>
    <row r="25" spans="1:11" ht="16.5" thickBot="1" x14ac:dyDescent="0.3">
      <c r="A25" s="7" t="s">
        <v>8</v>
      </c>
      <c r="B25" s="14">
        <v>36</v>
      </c>
      <c r="C25" s="8">
        <v>100</v>
      </c>
      <c r="D25" s="8">
        <v>72000</v>
      </c>
      <c r="E25" s="8">
        <v>27</v>
      </c>
      <c r="F25" s="8" t="s">
        <v>10</v>
      </c>
      <c r="G25" s="8">
        <v>10</v>
      </c>
      <c r="H25" s="15">
        <v>62.19</v>
      </c>
      <c r="I25" s="10">
        <v>51.447299999999998</v>
      </c>
      <c r="J25" s="13" t="s">
        <v>32</v>
      </c>
      <c r="K25" s="12">
        <f t="shared" si="0"/>
        <v>1.800648355363988</v>
      </c>
    </row>
    <row r="26" spans="1:11" ht="16.5" thickBot="1" x14ac:dyDescent="0.3">
      <c r="A26" s="7" t="s">
        <v>8</v>
      </c>
      <c r="B26" s="14">
        <v>40</v>
      </c>
      <c r="C26" s="8">
        <v>100</v>
      </c>
      <c r="D26" s="8">
        <v>72000</v>
      </c>
      <c r="E26" s="8">
        <v>27</v>
      </c>
      <c r="F26" s="8" t="s">
        <v>10</v>
      </c>
      <c r="G26" s="8">
        <v>10</v>
      </c>
      <c r="H26" s="15">
        <v>77.739999999999995</v>
      </c>
      <c r="I26" s="10">
        <v>71.231499999999997</v>
      </c>
      <c r="J26" s="13" t="s">
        <v>32</v>
      </c>
      <c r="K26" s="12">
        <f t="shared" si="0"/>
        <v>1.8961954104542107</v>
      </c>
    </row>
    <row r="27" spans="1:11" ht="16.5" thickBot="1" x14ac:dyDescent="0.3">
      <c r="A27" s="7" t="s">
        <v>8</v>
      </c>
      <c r="B27" s="14">
        <v>44</v>
      </c>
      <c r="C27" s="8">
        <v>100</v>
      </c>
      <c r="D27" s="8">
        <v>72000</v>
      </c>
      <c r="E27" s="8">
        <v>27</v>
      </c>
      <c r="F27" s="8" t="s">
        <v>10</v>
      </c>
      <c r="G27" s="8">
        <v>10</v>
      </c>
      <c r="H27" s="15">
        <v>92.64</v>
      </c>
      <c r="I27" s="10">
        <v>51.447299999999998</v>
      </c>
      <c r="J27" s="13" t="s">
        <v>32</v>
      </c>
      <c r="K27" s="12">
        <f t="shared" si="0"/>
        <v>1.9714614050245867</v>
      </c>
    </row>
    <row r="28" spans="1:11" ht="16.5" thickBot="1" x14ac:dyDescent="0.3">
      <c r="A28" s="7" t="s">
        <v>8</v>
      </c>
      <c r="B28" s="14">
        <v>48</v>
      </c>
      <c r="C28" s="8">
        <v>100</v>
      </c>
      <c r="D28" s="8">
        <v>72000</v>
      </c>
      <c r="E28" s="8">
        <v>27</v>
      </c>
      <c r="F28" s="8" t="s">
        <v>10</v>
      </c>
      <c r="G28" s="8">
        <v>10</v>
      </c>
      <c r="H28" s="15">
        <v>108.83</v>
      </c>
      <c r="I28" s="10">
        <v>79.348100000000002</v>
      </c>
      <c r="J28" s="13" t="s">
        <v>32</v>
      </c>
      <c r="K28" s="12">
        <f t="shared" si="0"/>
        <v>2.0407209836011937</v>
      </c>
    </row>
    <row r="29" spans="1:11" ht="16.5" thickBot="1" x14ac:dyDescent="0.3">
      <c r="A29" s="7" t="s">
        <v>8</v>
      </c>
      <c r="B29" s="14">
        <v>50.787999999999997</v>
      </c>
      <c r="C29" s="8">
        <v>100</v>
      </c>
      <c r="D29" s="8">
        <v>72000</v>
      </c>
      <c r="E29" s="8">
        <v>27</v>
      </c>
      <c r="F29" s="8" t="s">
        <v>10</v>
      </c>
      <c r="G29" s="8">
        <v>10</v>
      </c>
      <c r="H29" s="15">
        <v>124.29</v>
      </c>
      <c r="I29" s="10">
        <v>95.887600000000006</v>
      </c>
      <c r="J29" s="13" t="s">
        <v>32</v>
      </c>
      <c r="K29" s="12">
        <f t="shared" si="0"/>
        <v>2.0979164092373255</v>
      </c>
    </row>
    <row r="30" spans="1:11" ht="16.5" thickBot="1" x14ac:dyDescent="0.3">
      <c r="A30" s="7" t="s">
        <v>8</v>
      </c>
      <c r="B30" s="14">
        <v>20</v>
      </c>
      <c r="C30" s="8">
        <v>100</v>
      </c>
      <c r="D30" s="8">
        <v>72000</v>
      </c>
      <c r="E30" s="8">
        <v>27</v>
      </c>
      <c r="F30" s="8" t="s">
        <v>9</v>
      </c>
      <c r="G30" s="8">
        <v>10</v>
      </c>
      <c r="H30" s="15">
        <v>42.11</v>
      </c>
      <c r="I30" s="10">
        <v>98.991500000000002</v>
      </c>
      <c r="J30" s="13" t="s">
        <v>32</v>
      </c>
      <c r="K30" s="12">
        <f t="shared" si="0"/>
        <v>1.634578022853888</v>
      </c>
    </row>
    <row r="31" spans="1:11" ht="16.5" thickBot="1" x14ac:dyDescent="0.3">
      <c r="A31" s="7" t="s">
        <v>8</v>
      </c>
      <c r="B31" s="14">
        <v>24</v>
      </c>
      <c r="C31" s="8">
        <v>100</v>
      </c>
      <c r="D31" s="8">
        <v>72000</v>
      </c>
      <c r="E31" s="8">
        <v>27</v>
      </c>
      <c r="F31" s="8" t="s">
        <v>9</v>
      </c>
      <c r="G31" s="8">
        <v>10</v>
      </c>
      <c r="H31" s="15">
        <v>56.58</v>
      </c>
      <c r="I31" s="10">
        <v>95.710300000000004</v>
      </c>
      <c r="J31" s="13" t="s">
        <v>32</v>
      </c>
      <c r="K31" s="12">
        <f t="shared" si="0"/>
        <v>1.7602716605420632</v>
      </c>
    </row>
    <row r="32" spans="1:11" ht="16.5" thickBot="1" x14ac:dyDescent="0.3">
      <c r="A32" s="7" t="s">
        <v>8</v>
      </c>
      <c r="B32" s="14">
        <v>28</v>
      </c>
      <c r="C32" s="8">
        <v>100</v>
      </c>
      <c r="D32" s="8">
        <v>72000</v>
      </c>
      <c r="E32" s="8">
        <v>27</v>
      </c>
      <c r="F32" s="8" t="s">
        <v>9</v>
      </c>
      <c r="G32" s="8">
        <v>10</v>
      </c>
      <c r="H32" s="15">
        <v>73.06</v>
      </c>
      <c r="I32" s="10">
        <v>71.231499999999997</v>
      </c>
      <c r="J32" s="13" t="s">
        <v>32</v>
      </c>
      <c r="K32" s="12">
        <f t="shared" si="0"/>
        <v>1.8695837077134239</v>
      </c>
    </row>
    <row r="33" spans="1:11" ht="16.5" thickBot="1" x14ac:dyDescent="0.3">
      <c r="A33" s="7" t="s">
        <v>8</v>
      </c>
      <c r="B33" s="14">
        <v>32</v>
      </c>
      <c r="C33" s="8">
        <v>100</v>
      </c>
      <c r="D33" s="8">
        <v>72000</v>
      </c>
      <c r="E33" s="8">
        <v>27</v>
      </c>
      <c r="F33" s="8" t="s">
        <v>9</v>
      </c>
      <c r="G33" s="8">
        <v>10</v>
      </c>
      <c r="H33" s="15">
        <v>92.13</v>
      </c>
      <c r="I33" s="10">
        <v>51.447299999999998</v>
      </c>
      <c r="J33" s="13" t="s">
        <v>32</v>
      </c>
      <c r="K33" s="12">
        <f t="shared" si="0"/>
        <v>1.9690896029549214</v>
      </c>
    </row>
    <row r="34" spans="1:11" ht="16.5" thickBot="1" x14ac:dyDescent="0.3">
      <c r="A34" s="7" t="s">
        <v>8</v>
      </c>
      <c r="B34" s="14">
        <v>36</v>
      </c>
      <c r="C34" s="8">
        <v>100</v>
      </c>
      <c r="D34" s="8">
        <v>72000</v>
      </c>
      <c r="E34" s="8">
        <v>27</v>
      </c>
      <c r="F34" s="8" t="s">
        <v>9</v>
      </c>
      <c r="G34" s="8">
        <v>10</v>
      </c>
      <c r="H34" s="15">
        <v>113.37</v>
      </c>
      <c r="I34" s="10">
        <v>98.070099999999996</v>
      </c>
      <c r="J34" s="13" t="s">
        <v>32</v>
      </c>
      <c r="K34" s="12">
        <f t="shared" si="0"/>
        <v>2.0583121211083863</v>
      </c>
    </row>
    <row r="35" spans="1:11" ht="16.5" thickBot="1" x14ac:dyDescent="0.3">
      <c r="A35" s="7" t="s">
        <v>8</v>
      </c>
      <c r="B35" s="14">
        <v>40</v>
      </c>
      <c r="C35" s="8">
        <v>100</v>
      </c>
      <c r="D35" s="8">
        <v>72000</v>
      </c>
      <c r="E35" s="8">
        <v>27</v>
      </c>
      <c r="F35" s="8" t="s">
        <v>9</v>
      </c>
      <c r="G35" s="8">
        <v>10</v>
      </c>
      <c r="H35" s="15">
        <v>136.76</v>
      </c>
      <c r="I35" s="10">
        <v>95.105000000000004</v>
      </c>
      <c r="J35" s="13" t="s">
        <v>32</v>
      </c>
      <c r="K35" s="12">
        <f t="shared" si="0"/>
        <v>2.1391231341095795</v>
      </c>
    </row>
    <row r="36" spans="1:11" ht="16.5" thickBot="1" x14ac:dyDescent="0.3">
      <c r="A36" s="7" t="s">
        <v>8</v>
      </c>
      <c r="B36" s="14">
        <v>44</v>
      </c>
      <c r="C36" s="8">
        <v>100</v>
      </c>
      <c r="D36" s="8">
        <v>72000</v>
      </c>
      <c r="E36" s="8">
        <v>27</v>
      </c>
      <c r="F36" s="8" t="s">
        <v>9</v>
      </c>
      <c r="G36" s="8">
        <v>10</v>
      </c>
      <c r="H36" s="15">
        <v>161.52000000000001</v>
      </c>
      <c r="I36" s="10">
        <v>57.773099999999999</v>
      </c>
      <c r="J36" s="13" t="s">
        <v>32</v>
      </c>
      <c r="K36" s="12">
        <f t="shared" si="0"/>
        <v>2.2109068136543741</v>
      </c>
    </row>
    <row r="37" spans="1:11" ht="16.5" thickBot="1" x14ac:dyDescent="0.3">
      <c r="A37" s="7" t="s">
        <v>8</v>
      </c>
      <c r="B37" s="14">
        <v>48</v>
      </c>
      <c r="C37" s="8">
        <v>100</v>
      </c>
      <c r="D37" s="8">
        <v>72000</v>
      </c>
      <c r="E37" s="8">
        <v>27</v>
      </c>
      <c r="F37" s="8" t="s">
        <v>9</v>
      </c>
      <c r="G37" s="8">
        <v>10</v>
      </c>
      <c r="H37" s="15">
        <v>188.3</v>
      </c>
      <c r="I37" s="10">
        <v>57.773099999999999</v>
      </c>
      <c r="J37" s="13" t="s">
        <v>32</v>
      </c>
      <c r="K37" s="12">
        <f t="shared" si="0"/>
        <v>2.2771506139637969</v>
      </c>
    </row>
    <row r="38" spans="1:11" ht="16.5" thickBot="1" x14ac:dyDescent="0.3">
      <c r="A38" s="7" t="s">
        <v>8</v>
      </c>
      <c r="B38" s="14">
        <v>52</v>
      </c>
      <c r="C38" s="8">
        <v>100</v>
      </c>
      <c r="D38" s="8">
        <v>72000</v>
      </c>
      <c r="E38" s="8">
        <v>27</v>
      </c>
      <c r="F38" s="8" t="s">
        <v>9</v>
      </c>
      <c r="G38" s="8">
        <v>10</v>
      </c>
      <c r="H38" s="15">
        <v>218.96</v>
      </c>
      <c r="I38" s="10">
        <v>57.773099999999999</v>
      </c>
      <c r="J38" s="13" t="s">
        <v>32</v>
      </c>
      <c r="K38" s="12">
        <f t="shared" si="0"/>
        <v>2.3423437110098417</v>
      </c>
    </row>
    <row r="39" spans="1:11" ht="16.5" thickBot="1" x14ac:dyDescent="0.3">
      <c r="A39" s="7" t="s">
        <v>8</v>
      </c>
      <c r="B39" s="14">
        <v>56</v>
      </c>
      <c r="C39" s="8">
        <v>100</v>
      </c>
      <c r="D39" s="8">
        <v>72000</v>
      </c>
      <c r="E39" s="8">
        <v>27</v>
      </c>
      <c r="F39" s="8" t="s">
        <v>9</v>
      </c>
      <c r="G39" s="8">
        <v>10</v>
      </c>
      <c r="H39" s="15">
        <v>249.92</v>
      </c>
      <c r="I39" s="10">
        <v>57.773099999999999</v>
      </c>
      <c r="J39" s="13" t="s">
        <v>32</v>
      </c>
      <c r="K39" s="12">
        <f t="shared" si="0"/>
        <v>2.3995352788652968</v>
      </c>
    </row>
    <row r="40" spans="1:11" ht="16.5" thickBot="1" x14ac:dyDescent="0.3">
      <c r="A40" s="7" t="s">
        <v>8</v>
      </c>
      <c r="B40" s="14">
        <v>60</v>
      </c>
      <c r="C40" s="8">
        <v>100</v>
      </c>
      <c r="D40" s="8">
        <v>72000</v>
      </c>
      <c r="E40" s="8">
        <v>27</v>
      </c>
      <c r="F40" s="8" t="s">
        <v>9</v>
      </c>
      <c r="G40" s="8">
        <v>10</v>
      </c>
      <c r="H40" s="15">
        <v>283.95999999999998</v>
      </c>
      <c r="I40" s="10">
        <v>57.773099999999999</v>
      </c>
      <c r="J40" s="13" t="s">
        <v>32</v>
      </c>
      <c r="K40" s="12">
        <f t="shared" si="0"/>
        <v>2.4547839021191682</v>
      </c>
    </row>
    <row r="41" spans="1:11" ht="16.5" thickBot="1" x14ac:dyDescent="0.3">
      <c r="A41" s="7" t="s">
        <v>8</v>
      </c>
      <c r="B41" s="14">
        <v>16</v>
      </c>
      <c r="C41" s="8">
        <v>100</v>
      </c>
      <c r="D41" s="8">
        <v>72000</v>
      </c>
      <c r="E41" s="8">
        <v>27</v>
      </c>
      <c r="F41" s="8" t="s">
        <v>9</v>
      </c>
      <c r="G41" s="8">
        <v>10</v>
      </c>
      <c r="H41" s="15">
        <v>29.37</v>
      </c>
      <c r="I41" s="10">
        <v>99.838800000000006</v>
      </c>
      <c r="J41" s="13" t="s">
        <v>32</v>
      </c>
      <c r="K41" s="12">
        <f t="shared" si="0"/>
        <v>1.4824447919182653</v>
      </c>
    </row>
    <row r="42" spans="1:11" ht="16.5" thickBot="1" x14ac:dyDescent="0.3">
      <c r="A42" s="7" t="s">
        <v>8</v>
      </c>
      <c r="B42" s="14">
        <v>61.939</v>
      </c>
      <c r="C42" s="8">
        <v>100</v>
      </c>
      <c r="D42" s="8">
        <v>72000</v>
      </c>
      <c r="E42" s="8">
        <v>27</v>
      </c>
      <c r="F42" s="8" t="s">
        <v>9</v>
      </c>
      <c r="G42" s="8">
        <v>10</v>
      </c>
      <c r="H42" s="16">
        <v>300.94</v>
      </c>
      <c r="I42" s="10">
        <v>46.280200000000001</v>
      </c>
      <c r="J42" s="13" t="s">
        <v>32</v>
      </c>
      <c r="K42" s="12">
        <f t="shared" si="0"/>
        <v>2.4799206507128884</v>
      </c>
    </row>
    <row r="43" spans="1:11" ht="16.5" thickBot="1" x14ac:dyDescent="0.3">
      <c r="A43" s="7" t="s">
        <v>8</v>
      </c>
      <c r="B43" s="14">
        <v>17</v>
      </c>
      <c r="C43" s="14">
        <v>97.355999999999995</v>
      </c>
      <c r="D43" s="8">
        <v>72000</v>
      </c>
      <c r="E43" s="8">
        <v>27</v>
      </c>
      <c r="F43" s="8" t="s">
        <v>10</v>
      </c>
      <c r="G43" s="17">
        <v>10</v>
      </c>
      <c r="H43" s="18">
        <v>21.336099999999998</v>
      </c>
      <c r="I43" s="19">
        <v>98.947000000000003</v>
      </c>
      <c r="J43" s="13" t="s">
        <v>32</v>
      </c>
      <c r="K43" s="12">
        <f>LOG(H43+1)</f>
        <v>1.3490073453087088</v>
      </c>
    </row>
    <row r="44" spans="1:11" ht="16.5" thickBot="1" x14ac:dyDescent="0.3">
      <c r="A44" s="7" t="s">
        <v>8</v>
      </c>
      <c r="B44" s="14">
        <v>17</v>
      </c>
      <c r="C44" s="14">
        <v>118.26900000000001</v>
      </c>
      <c r="D44" s="8">
        <v>72000</v>
      </c>
      <c r="E44" s="8">
        <v>27</v>
      </c>
      <c r="F44" s="8" t="s">
        <v>10</v>
      </c>
      <c r="G44" s="17">
        <v>10</v>
      </c>
      <c r="H44" s="18">
        <v>21.336200000000002</v>
      </c>
      <c r="I44" s="19">
        <v>98.947000000000003</v>
      </c>
      <c r="J44" s="13" t="s">
        <v>32</v>
      </c>
      <c r="K44" s="12">
        <f t="shared" si="0"/>
        <v>1.3490092896656454</v>
      </c>
    </row>
    <row r="45" spans="1:11" ht="16.5" thickBot="1" x14ac:dyDescent="0.3">
      <c r="A45" s="7" t="s">
        <v>8</v>
      </c>
      <c r="B45" s="14">
        <v>17</v>
      </c>
      <c r="C45" s="14">
        <v>147.596</v>
      </c>
      <c r="D45" s="8">
        <v>72000</v>
      </c>
      <c r="E45" s="8">
        <v>27</v>
      </c>
      <c r="F45" s="8" t="s">
        <v>10</v>
      </c>
      <c r="G45" s="17">
        <v>10</v>
      </c>
      <c r="H45" s="18">
        <v>21.336300000000001</v>
      </c>
      <c r="I45" s="19">
        <v>98.947000000000003</v>
      </c>
      <c r="J45" s="13" t="s">
        <v>32</v>
      </c>
      <c r="K45" s="12">
        <f t="shared" si="0"/>
        <v>1.3490112340138771</v>
      </c>
    </row>
    <row r="46" spans="1:11" ht="16.5" thickBot="1" x14ac:dyDescent="0.3">
      <c r="A46" s="7" t="s">
        <v>8</v>
      </c>
      <c r="B46" s="14">
        <v>17</v>
      </c>
      <c r="C46" s="14">
        <v>177.40379999999999</v>
      </c>
      <c r="D46" s="8">
        <v>72000</v>
      </c>
      <c r="E46" s="8">
        <v>27</v>
      </c>
      <c r="F46" s="8" t="s">
        <v>10</v>
      </c>
      <c r="G46" s="17">
        <v>10</v>
      </c>
      <c r="H46" s="18">
        <v>21.336400000000001</v>
      </c>
      <c r="I46" s="19">
        <v>98.683999999999997</v>
      </c>
      <c r="J46" s="13" t="s">
        <v>32</v>
      </c>
      <c r="K46" s="12">
        <f t="shared" si="0"/>
        <v>1.3490131783534038</v>
      </c>
    </row>
    <row r="47" spans="1:11" ht="16.5" thickBot="1" x14ac:dyDescent="0.3">
      <c r="A47" s="7" t="s">
        <v>8</v>
      </c>
      <c r="B47" s="14">
        <v>17</v>
      </c>
      <c r="C47" s="14">
        <v>222.35599999999999</v>
      </c>
      <c r="D47" s="8">
        <v>72000</v>
      </c>
      <c r="E47" s="8">
        <v>27</v>
      </c>
      <c r="F47" s="8" t="s">
        <v>10</v>
      </c>
      <c r="G47" s="17">
        <v>10</v>
      </c>
      <c r="H47" s="18">
        <v>21.336500000000001</v>
      </c>
      <c r="I47" s="19">
        <v>98.637</v>
      </c>
      <c r="J47" s="13" t="s">
        <v>32</v>
      </c>
      <c r="K47" s="12">
        <f t="shared" si="0"/>
        <v>1.349015122684226</v>
      </c>
    </row>
    <row r="48" spans="1:11" ht="16.5" thickBot="1" x14ac:dyDescent="0.3">
      <c r="A48" s="7" t="s">
        <v>8</v>
      </c>
      <c r="B48" s="14">
        <v>23.1</v>
      </c>
      <c r="C48" s="20">
        <v>97.355999999999995</v>
      </c>
      <c r="D48" s="8">
        <v>72000</v>
      </c>
      <c r="E48" s="8">
        <v>27</v>
      </c>
      <c r="F48" s="8" t="s">
        <v>10</v>
      </c>
      <c r="G48" s="17">
        <v>10</v>
      </c>
      <c r="H48" s="18">
        <v>21.336600000000001</v>
      </c>
      <c r="I48" s="21">
        <v>97.894999999999996</v>
      </c>
      <c r="J48" s="13" t="s">
        <v>32</v>
      </c>
      <c r="K48" s="12">
        <f t="shared" si="0"/>
        <v>1.3490170670063433</v>
      </c>
    </row>
    <row r="49" spans="1:11" ht="16.5" thickBot="1" x14ac:dyDescent="0.3">
      <c r="A49" s="7" t="s">
        <v>8</v>
      </c>
      <c r="B49" s="14">
        <v>23.1</v>
      </c>
      <c r="C49" s="20">
        <v>118.51</v>
      </c>
      <c r="D49" s="8">
        <v>72000</v>
      </c>
      <c r="E49" s="8">
        <v>27</v>
      </c>
      <c r="F49" s="8" t="s">
        <v>10</v>
      </c>
      <c r="G49" s="17">
        <v>10</v>
      </c>
      <c r="H49" s="18">
        <v>21.3367</v>
      </c>
      <c r="I49" s="21">
        <v>97.894999999999996</v>
      </c>
      <c r="J49" s="13" t="s">
        <v>32</v>
      </c>
      <c r="K49" s="12">
        <f t="shared" si="0"/>
        <v>1.349019011319756</v>
      </c>
    </row>
    <row r="50" spans="1:11" ht="16.5" thickBot="1" x14ac:dyDescent="0.3">
      <c r="A50" s="7" t="s">
        <v>8</v>
      </c>
      <c r="B50" s="14">
        <v>23.1</v>
      </c>
      <c r="C50" s="20">
        <v>148.077</v>
      </c>
      <c r="D50" s="8">
        <v>72000</v>
      </c>
      <c r="E50" s="8">
        <v>27</v>
      </c>
      <c r="F50" s="8" t="s">
        <v>10</v>
      </c>
      <c r="G50" s="17">
        <v>10</v>
      </c>
      <c r="H50" s="18">
        <v>21.3368</v>
      </c>
      <c r="I50" s="21">
        <v>97.894999999999996</v>
      </c>
      <c r="J50" s="13" t="s">
        <v>32</v>
      </c>
      <c r="K50" s="12">
        <f t="shared" si="0"/>
        <v>1.3490209556244643</v>
      </c>
    </row>
    <row r="51" spans="1:11" ht="16.5" thickBot="1" x14ac:dyDescent="0.3">
      <c r="A51" s="7" t="s">
        <v>8</v>
      </c>
      <c r="B51" s="14">
        <v>23.1</v>
      </c>
      <c r="C51" s="20">
        <v>177.404</v>
      </c>
      <c r="D51" s="8">
        <v>72000</v>
      </c>
      <c r="E51" s="8">
        <v>27</v>
      </c>
      <c r="F51" s="8" t="s">
        <v>10</v>
      </c>
      <c r="G51" s="17">
        <v>10</v>
      </c>
      <c r="H51" s="18">
        <v>21.3369</v>
      </c>
      <c r="I51" s="21">
        <v>97.894999999999996</v>
      </c>
      <c r="J51" s="13" t="s">
        <v>32</v>
      </c>
      <c r="K51" s="12">
        <f t="shared" si="0"/>
        <v>1.3490228999204679</v>
      </c>
    </row>
    <row r="52" spans="1:11" ht="16.5" thickBot="1" x14ac:dyDescent="0.3">
      <c r="A52" s="7" t="s">
        <v>8</v>
      </c>
      <c r="B52" s="14">
        <v>23.1</v>
      </c>
      <c r="C52" s="20">
        <v>221.63499999999999</v>
      </c>
      <c r="D52" s="8">
        <v>72000</v>
      </c>
      <c r="E52" s="8">
        <v>27</v>
      </c>
      <c r="F52" s="8" t="s">
        <v>10</v>
      </c>
      <c r="G52" s="17">
        <v>10</v>
      </c>
      <c r="H52" s="18">
        <v>21.337</v>
      </c>
      <c r="I52" s="21">
        <v>97.367999999999995</v>
      </c>
      <c r="J52" s="13" t="s">
        <v>32</v>
      </c>
      <c r="K52" s="12">
        <f t="shared" si="0"/>
        <v>1.3490248442077672</v>
      </c>
    </row>
    <row r="53" spans="1:11" ht="16.5" thickBot="1" x14ac:dyDescent="0.3">
      <c r="A53" s="7" t="s">
        <v>8</v>
      </c>
      <c r="B53" s="14">
        <v>51</v>
      </c>
      <c r="C53" s="20">
        <v>97.355999999999995</v>
      </c>
      <c r="D53" s="8">
        <v>72000</v>
      </c>
      <c r="E53" s="8">
        <v>27</v>
      </c>
      <c r="F53" s="8" t="s">
        <v>10</v>
      </c>
      <c r="G53" s="17">
        <v>10</v>
      </c>
      <c r="H53" s="18">
        <v>21.3371</v>
      </c>
      <c r="I53" s="21">
        <v>82.894999999999996</v>
      </c>
      <c r="J53" s="13" t="s">
        <v>32</v>
      </c>
      <c r="K53" s="12">
        <f t="shared" si="0"/>
        <v>1.3490267884863623</v>
      </c>
    </row>
    <row r="54" spans="1:11" ht="16.5" thickBot="1" x14ac:dyDescent="0.3">
      <c r="A54" s="7" t="s">
        <v>8</v>
      </c>
      <c r="B54" s="14">
        <v>51</v>
      </c>
      <c r="C54" s="20">
        <v>118.029</v>
      </c>
      <c r="D54" s="8">
        <v>72000</v>
      </c>
      <c r="E54" s="8">
        <v>27</v>
      </c>
      <c r="F54" s="8" t="s">
        <v>10</v>
      </c>
      <c r="G54" s="17">
        <v>10</v>
      </c>
      <c r="H54" s="18">
        <v>21.337199999999999</v>
      </c>
      <c r="I54" s="21">
        <v>56.841999999999999</v>
      </c>
      <c r="J54" s="13" t="s">
        <v>32</v>
      </c>
      <c r="K54" s="12">
        <f t="shared" si="0"/>
        <v>1.3490287327562529</v>
      </c>
    </row>
    <row r="55" spans="1:11" ht="16.5" thickBot="1" x14ac:dyDescent="0.3">
      <c r="A55" s="7" t="s">
        <v>8</v>
      </c>
      <c r="B55" s="14">
        <v>51</v>
      </c>
      <c r="C55" s="20">
        <v>147.83600000000001</v>
      </c>
      <c r="D55" s="8">
        <v>72000</v>
      </c>
      <c r="E55" s="8">
        <v>27</v>
      </c>
      <c r="F55" s="8" t="s">
        <v>10</v>
      </c>
      <c r="G55" s="17">
        <v>10</v>
      </c>
      <c r="H55" s="18">
        <v>21.337299999999999</v>
      </c>
      <c r="I55" s="21">
        <v>68.421000000000006</v>
      </c>
      <c r="J55" s="13" t="s">
        <v>32</v>
      </c>
      <c r="K55" s="12">
        <f t="shared" si="0"/>
        <v>1.3490306770174396</v>
      </c>
    </row>
    <row r="56" spans="1:11" ht="16.5" thickBot="1" x14ac:dyDescent="0.3">
      <c r="A56" s="7" t="s">
        <v>8</v>
      </c>
      <c r="B56" s="14">
        <v>51</v>
      </c>
      <c r="C56" s="20">
        <v>177.40899999999999</v>
      </c>
      <c r="D56" s="8">
        <v>72000</v>
      </c>
      <c r="E56" s="8">
        <v>27</v>
      </c>
      <c r="F56" s="8" t="s">
        <v>10</v>
      </c>
      <c r="G56" s="17">
        <v>10</v>
      </c>
      <c r="H56" s="18">
        <v>21.337399999999999</v>
      </c>
      <c r="I56" s="21">
        <v>56.579000000000001</v>
      </c>
      <c r="J56" s="13" t="s">
        <v>32</v>
      </c>
      <c r="K56" s="12">
        <f t="shared" si="0"/>
        <v>1.3490326212699222</v>
      </c>
    </row>
    <row r="57" spans="1:11" ht="16.5" thickBot="1" x14ac:dyDescent="0.3">
      <c r="A57" s="7" t="s">
        <v>8</v>
      </c>
      <c r="B57" s="14">
        <v>51</v>
      </c>
      <c r="C57" s="20">
        <v>221.63499999999999</v>
      </c>
      <c r="D57" s="8">
        <v>72000</v>
      </c>
      <c r="E57" s="8">
        <v>27</v>
      </c>
      <c r="F57" s="8" t="s">
        <v>10</v>
      </c>
      <c r="G57" s="17">
        <v>10</v>
      </c>
      <c r="H57" s="18">
        <v>21.337499999999999</v>
      </c>
      <c r="I57" s="21">
        <v>41.841999999999999</v>
      </c>
      <c r="J57" s="13" t="s">
        <v>32</v>
      </c>
      <c r="K57" s="12">
        <f t="shared" si="0"/>
        <v>1.3490345655137006</v>
      </c>
    </row>
    <row r="58" spans="1:11" ht="16.5" thickBot="1" x14ac:dyDescent="0.3">
      <c r="A58" s="7" t="s">
        <v>8</v>
      </c>
      <c r="B58" s="14">
        <v>16.3</v>
      </c>
      <c r="C58" s="20">
        <v>97.355999999999995</v>
      </c>
      <c r="D58" s="8">
        <v>72000</v>
      </c>
      <c r="E58" s="8">
        <v>27</v>
      </c>
      <c r="F58" s="8" t="s">
        <v>9</v>
      </c>
      <c r="G58" s="17">
        <v>10</v>
      </c>
      <c r="H58" s="18">
        <v>21.337599999999998</v>
      </c>
      <c r="I58" s="21">
        <v>98.683999999999997</v>
      </c>
      <c r="J58" s="13" t="s">
        <v>32</v>
      </c>
      <c r="K58" s="12">
        <f t="shared" si="0"/>
        <v>1.3490365097487753</v>
      </c>
    </row>
    <row r="59" spans="1:11" ht="16.5" thickBot="1" x14ac:dyDescent="0.3">
      <c r="A59" s="7" t="s">
        <v>8</v>
      </c>
      <c r="B59" s="14">
        <v>16.3</v>
      </c>
      <c r="C59" s="20">
        <v>118.26900000000001</v>
      </c>
      <c r="D59" s="8">
        <v>72000</v>
      </c>
      <c r="E59" s="8">
        <v>27</v>
      </c>
      <c r="F59" s="8" t="s">
        <v>9</v>
      </c>
      <c r="G59" s="17">
        <v>10</v>
      </c>
      <c r="H59" s="18">
        <v>21.337700000000002</v>
      </c>
      <c r="I59" s="21">
        <v>98.683999999999997</v>
      </c>
      <c r="J59" s="13" t="s">
        <v>32</v>
      </c>
      <c r="K59" s="12">
        <f t="shared" si="0"/>
        <v>1.3490384539751461</v>
      </c>
    </row>
    <row r="60" spans="1:11" ht="16.5" thickBot="1" x14ac:dyDescent="0.3">
      <c r="A60" s="7" t="s">
        <v>8</v>
      </c>
      <c r="B60" s="14">
        <v>16.3</v>
      </c>
      <c r="C60" s="20">
        <v>147.83600000000001</v>
      </c>
      <c r="D60" s="8">
        <v>72000</v>
      </c>
      <c r="E60" s="8">
        <v>27</v>
      </c>
      <c r="F60" s="8" t="s">
        <v>9</v>
      </c>
      <c r="G60" s="17">
        <v>10</v>
      </c>
      <c r="H60" s="18">
        <v>21.337800000000001</v>
      </c>
      <c r="I60" s="21">
        <v>98.421000000000006</v>
      </c>
      <c r="J60" s="13" t="s">
        <v>32</v>
      </c>
      <c r="K60" s="12">
        <f t="shared" si="0"/>
        <v>1.349040398192813</v>
      </c>
    </row>
    <row r="61" spans="1:11" ht="16.5" thickBot="1" x14ac:dyDescent="0.3">
      <c r="A61" s="7" t="s">
        <v>8</v>
      </c>
      <c r="B61" s="14">
        <v>16.3</v>
      </c>
      <c r="C61" s="20">
        <v>177.404</v>
      </c>
      <c r="D61" s="8">
        <v>72000</v>
      </c>
      <c r="E61" s="8">
        <v>27</v>
      </c>
      <c r="F61" s="8" t="s">
        <v>9</v>
      </c>
      <c r="G61" s="17">
        <v>10</v>
      </c>
      <c r="H61" s="18">
        <v>21.337900000000001</v>
      </c>
      <c r="I61" s="21">
        <v>98.421000000000006</v>
      </c>
      <c r="J61" s="13" t="s">
        <v>32</v>
      </c>
      <c r="K61" s="12">
        <f t="shared" si="0"/>
        <v>1.3490423424017763</v>
      </c>
    </row>
    <row r="62" spans="1:11" ht="16.5" thickBot="1" x14ac:dyDescent="0.3">
      <c r="A62" s="7" t="s">
        <v>8</v>
      </c>
      <c r="B62" s="14">
        <v>16.3</v>
      </c>
      <c r="C62" s="20">
        <v>221.875</v>
      </c>
      <c r="D62" s="8">
        <v>72000</v>
      </c>
      <c r="E62" s="8">
        <v>27</v>
      </c>
      <c r="F62" s="8" t="s">
        <v>9</v>
      </c>
      <c r="G62" s="17">
        <v>10</v>
      </c>
      <c r="H62" s="18">
        <v>21.338000000000001</v>
      </c>
      <c r="I62" s="21">
        <v>98.421000000000006</v>
      </c>
      <c r="J62" s="13" t="s">
        <v>32</v>
      </c>
      <c r="K62" s="12">
        <f t="shared" si="0"/>
        <v>1.349044286602036</v>
      </c>
    </row>
    <row r="63" spans="1:11" ht="16.5" thickBot="1" x14ac:dyDescent="0.3">
      <c r="A63" s="7" t="s">
        <v>8</v>
      </c>
      <c r="B63" s="14">
        <v>27.7</v>
      </c>
      <c r="C63" s="20">
        <v>98.076999999999998</v>
      </c>
      <c r="D63" s="8">
        <v>72000</v>
      </c>
      <c r="E63" s="8">
        <v>27</v>
      </c>
      <c r="F63" s="8" t="s">
        <v>9</v>
      </c>
      <c r="G63" s="17">
        <v>10</v>
      </c>
      <c r="H63" s="18">
        <v>21.338100000000001</v>
      </c>
      <c r="I63" s="21">
        <v>96.841999999999999</v>
      </c>
      <c r="J63" s="13" t="s">
        <v>32</v>
      </c>
      <c r="K63" s="12">
        <f t="shared" si="0"/>
        <v>1.349046230793592</v>
      </c>
    </row>
    <row r="64" spans="1:11" ht="16.5" thickBot="1" x14ac:dyDescent="0.3">
      <c r="A64" s="7" t="s">
        <v>8</v>
      </c>
      <c r="B64" s="14">
        <v>27.7</v>
      </c>
      <c r="C64" s="20">
        <v>118.26900000000001</v>
      </c>
      <c r="D64" s="8">
        <v>72000</v>
      </c>
      <c r="E64" s="8">
        <v>27</v>
      </c>
      <c r="F64" s="8" t="s">
        <v>9</v>
      </c>
      <c r="G64" s="17">
        <v>10</v>
      </c>
      <c r="H64" s="18">
        <v>21.338200000000001</v>
      </c>
      <c r="I64" s="21">
        <v>96.841999999999999</v>
      </c>
      <c r="J64" s="13" t="s">
        <v>32</v>
      </c>
      <c r="K64" s="12">
        <f t="shared" si="0"/>
        <v>1.3490481749764447</v>
      </c>
    </row>
    <row r="65" spans="1:11" ht="16.5" thickBot="1" x14ac:dyDescent="0.3">
      <c r="A65" s="7" t="s">
        <v>8</v>
      </c>
      <c r="B65" s="14">
        <v>27.7</v>
      </c>
      <c r="C65" s="20">
        <v>148.077</v>
      </c>
      <c r="D65" s="8">
        <v>72000</v>
      </c>
      <c r="E65" s="8">
        <v>27</v>
      </c>
      <c r="F65" s="8" t="s">
        <v>9</v>
      </c>
      <c r="G65" s="17">
        <v>10</v>
      </c>
      <c r="H65" s="18">
        <v>21.3383</v>
      </c>
      <c r="I65" s="21">
        <v>96.841999999999999</v>
      </c>
      <c r="J65" s="13" t="s">
        <v>32</v>
      </c>
      <c r="K65" s="12">
        <f t="shared" si="0"/>
        <v>1.3490501191505939</v>
      </c>
    </row>
    <row r="66" spans="1:11" ht="16.5" thickBot="1" x14ac:dyDescent="0.3">
      <c r="A66" s="7" t="s">
        <v>8</v>
      </c>
      <c r="B66" s="14">
        <v>27.7</v>
      </c>
      <c r="C66" s="20">
        <v>177.16300000000001</v>
      </c>
      <c r="D66" s="8">
        <v>72000</v>
      </c>
      <c r="E66" s="8">
        <v>27</v>
      </c>
      <c r="F66" s="8" t="s">
        <v>9</v>
      </c>
      <c r="G66" s="17">
        <v>10</v>
      </c>
      <c r="H66" s="18">
        <v>21.3384</v>
      </c>
      <c r="I66" s="21">
        <v>82.105000000000004</v>
      </c>
      <c r="J66" s="13" t="s">
        <v>32</v>
      </c>
      <c r="K66" s="12">
        <f t="shared" si="0"/>
        <v>1.3490520633160399</v>
      </c>
    </row>
    <row r="67" spans="1:11" ht="16.5" thickBot="1" x14ac:dyDescent="0.3">
      <c r="A67" s="7" t="s">
        <v>8</v>
      </c>
      <c r="B67" s="14">
        <v>27.7</v>
      </c>
      <c r="C67" s="20">
        <v>221.39400000000001</v>
      </c>
      <c r="D67" s="8">
        <v>72000</v>
      </c>
      <c r="E67" s="8">
        <v>27</v>
      </c>
      <c r="F67" s="8" t="s">
        <v>9</v>
      </c>
      <c r="G67" s="17">
        <v>10</v>
      </c>
      <c r="H67" s="18">
        <v>21.3385</v>
      </c>
      <c r="I67" s="21">
        <v>90.263000000000005</v>
      </c>
      <c r="J67" s="13" t="s">
        <v>32</v>
      </c>
      <c r="K67" s="12">
        <f t="shared" ref="K67:K130" si="1">LOG(H67+1)</f>
        <v>1.3490540074727828</v>
      </c>
    </row>
    <row r="68" spans="1:11" ht="16.5" thickBot="1" x14ac:dyDescent="0.3">
      <c r="A68" s="7" t="s">
        <v>8</v>
      </c>
      <c r="B68" s="14">
        <v>62.1</v>
      </c>
      <c r="C68" s="20">
        <v>97.355999999999995</v>
      </c>
      <c r="D68" s="8">
        <v>72000</v>
      </c>
      <c r="E68" s="8">
        <v>27</v>
      </c>
      <c r="F68" s="8" t="s">
        <v>9</v>
      </c>
      <c r="G68" s="17">
        <v>10</v>
      </c>
      <c r="H68" s="18">
        <v>21.3386</v>
      </c>
      <c r="I68" s="21">
        <v>51.316000000000003</v>
      </c>
      <c r="J68" s="13" t="s">
        <v>32</v>
      </c>
      <c r="K68" s="12">
        <f t="shared" si="1"/>
        <v>1.3490559516208223</v>
      </c>
    </row>
    <row r="69" spans="1:11" ht="16.5" thickBot="1" x14ac:dyDescent="0.3">
      <c r="A69" s="7" t="s">
        <v>8</v>
      </c>
      <c r="B69" s="14">
        <v>62.1</v>
      </c>
      <c r="C69" s="20">
        <v>118.26900000000001</v>
      </c>
      <c r="D69" s="8">
        <v>72000</v>
      </c>
      <c r="E69" s="8">
        <v>27</v>
      </c>
      <c r="F69" s="8" t="s">
        <v>9</v>
      </c>
      <c r="G69" s="17">
        <v>10</v>
      </c>
      <c r="H69" s="18">
        <v>21.338699999999999</v>
      </c>
      <c r="I69" s="21">
        <v>47.104999999999997</v>
      </c>
      <c r="J69" s="13" t="s">
        <v>32</v>
      </c>
      <c r="K69" s="12">
        <f t="shared" si="1"/>
        <v>1.3490578957601589</v>
      </c>
    </row>
    <row r="70" spans="1:11" ht="16.5" thickBot="1" x14ac:dyDescent="0.3">
      <c r="A70" s="7" t="s">
        <v>8</v>
      </c>
      <c r="B70" s="14">
        <v>62.1</v>
      </c>
      <c r="C70" s="20">
        <v>147.83600000000001</v>
      </c>
      <c r="D70" s="8">
        <v>72000</v>
      </c>
      <c r="E70" s="8">
        <v>27</v>
      </c>
      <c r="F70" s="8" t="s">
        <v>9</v>
      </c>
      <c r="G70" s="17">
        <v>10</v>
      </c>
      <c r="H70" s="18">
        <v>21.338799999999999</v>
      </c>
      <c r="I70" s="21">
        <v>45.526000000000003</v>
      </c>
      <c r="J70" s="13" t="s">
        <v>32</v>
      </c>
      <c r="K70" s="12">
        <f t="shared" si="1"/>
        <v>1.3490598398907925</v>
      </c>
    </row>
    <row r="71" spans="1:11" ht="16.5" thickBot="1" x14ac:dyDescent="0.3">
      <c r="A71" s="7" t="s">
        <v>8</v>
      </c>
      <c r="B71" s="14">
        <v>62.1</v>
      </c>
      <c r="C71" s="20">
        <v>177.404</v>
      </c>
      <c r="D71" s="8">
        <v>72000</v>
      </c>
      <c r="E71" s="8">
        <v>27</v>
      </c>
      <c r="F71" s="8" t="s">
        <v>9</v>
      </c>
      <c r="G71" s="17">
        <v>10</v>
      </c>
      <c r="H71" s="18">
        <v>21.338899999999999</v>
      </c>
      <c r="I71" s="21">
        <v>30.263000000000002</v>
      </c>
      <c r="J71" s="13" t="s">
        <v>32</v>
      </c>
      <c r="K71" s="12">
        <f t="shared" si="1"/>
        <v>1.349061784012723</v>
      </c>
    </row>
    <row r="72" spans="1:11" ht="16.5" thickBot="1" x14ac:dyDescent="0.3">
      <c r="A72" s="7" t="s">
        <v>8</v>
      </c>
      <c r="B72" s="14">
        <v>62.1</v>
      </c>
      <c r="C72" s="20">
        <v>221.875</v>
      </c>
      <c r="D72" s="8">
        <v>72000</v>
      </c>
      <c r="E72" s="8">
        <v>27</v>
      </c>
      <c r="F72" s="8" t="s">
        <v>9</v>
      </c>
      <c r="G72" s="17">
        <v>10</v>
      </c>
      <c r="H72" s="18">
        <v>21.338999999999999</v>
      </c>
      <c r="I72" s="21">
        <v>33.683999999999997</v>
      </c>
      <c r="J72" s="13" t="s">
        <v>32</v>
      </c>
      <c r="K72" s="12">
        <f t="shared" si="1"/>
        <v>1.349063728125951</v>
      </c>
    </row>
    <row r="73" spans="1:11" ht="16.5" thickBot="1" x14ac:dyDescent="0.3">
      <c r="A73" s="7" t="s">
        <v>8</v>
      </c>
      <c r="B73" s="22">
        <v>17.600000000000001</v>
      </c>
      <c r="C73" s="22">
        <v>200</v>
      </c>
      <c r="D73" s="23">
        <v>29220</v>
      </c>
      <c r="E73" s="22">
        <v>2</v>
      </c>
      <c r="F73" s="22" t="s">
        <v>10</v>
      </c>
      <c r="G73" s="22">
        <v>1.96</v>
      </c>
      <c r="H73" s="24">
        <v>3.93</v>
      </c>
      <c r="I73" s="25">
        <v>100</v>
      </c>
      <c r="J73" s="26" t="s">
        <v>33</v>
      </c>
      <c r="K73" s="12">
        <f t="shared" si="1"/>
        <v>0.69284691927722997</v>
      </c>
    </row>
    <row r="74" spans="1:11" ht="16.5" thickBot="1" x14ac:dyDescent="0.3">
      <c r="A74" s="7" t="s">
        <v>8</v>
      </c>
      <c r="B74" s="27">
        <v>17.600000000000001</v>
      </c>
      <c r="C74" s="27">
        <v>200</v>
      </c>
      <c r="D74" s="28">
        <v>29220</v>
      </c>
      <c r="E74" s="27">
        <v>27</v>
      </c>
      <c r="F74" s="27" t="s">
        <v>10</v>
      </c>
      <c r="G74" s="27">
        <v>1.96</v>
      </c>
      <c r="H74" s="24">
        <v>10.33</v>
      </c>
      <c r="I74" s="25">
        <v>100</v>
      </c>
      <c r="J74" s="26" t="s">
        <v>33</v>
      </c>
      <c r="K74" s="12">
        <f t="shared" si="1"/>
        <v>1.0542299098633972</v>
      </c>
    </row>
    <row r="75" spans="1:11" ht="16.5" thickBot="1" x14ac:dyDescent="0.3">
      <c r="A75" s="7" t="s">
        <v>8</v>
      </c>
      <c r="B75" s="27">
        <v>17.600000000000001</v>
      </c>
      <c r="C75" s="27">
        <v>200</v>
      </c>
      <c r="D75" s="28">
        <v>29220</v>
      </c>
      <c r="E75" s="27">
        <v>52</v>
      </c>
      <c r="F75" s="27" t="s">
        <v>10</v>
      </c>
      <c r="G75" s="27">
        <v>1.96</v>
      </c>
      <c r="H75" s="24">
        <v>16.329999999999998</v>
      </c>
      <c r="I75" s="25">
        <v>100</v>
      </c>
      <c r="J75" s="26" t="s">
        <v>33</v>
      </c>
      <c r="K75" s="12">
        <f t="shared" si="1"/>
        <v>1.2387985627139169</v>
      </c>
    </row>
    <row r="76" spans="1:11" ht="16.5" thickBot="1" x14ac:dyDescent="0.3">
      <c r="A76" s="7" t="s">
        <v>8</v>
      </c>
      <c r="B76" s="27">
        <v>17.600000000000001</v>
      </c>
      <c r="C76" s="27">
        <v>200</v>
      </c>
      <c r="D76" s="28">
        <v>29220</v>
      </c>
      <c r="E76" s="27">
        <v>77</v>
      </c>
      <c r="F76" s="27" t="s">
        <v>10</v>
      </c>
      <c r="G76" s="27">
        <v>1.96</v>
      </c>
      <c r="H76" s="24">
        <v>25.13</v>
      </c>
      <c r="I76" s="25">
        <v>100</v>
      </c>
      <c r="J76" s="26" t="s">
        <v>33</v>
      </c>
      <c r="K76" s="12">
        <f t="shared" si="1"/>
        <v>1.4171394097273255</v>
      </c>
    </row>
    <row r="77" spans="1:11" ht="16.5" thickBot="1" x14ac:dyDescent="0.3">
      <c r="A77" s="7" t="s">
        <v>8</v>
      </c>
      <c r="B77" s="27">
        <v>37.700000000000003</v>
      </c>
      <c r="C77" s="27">
        <v>200</v>
      </c>
      <c r="D77" s="28">
        <v>29220</v>
      </c>
      <c r="E77" s="27">
        <v>2</v>
      </c>
      <c r="F77" s="27" t="s">
        <v>10</v>
      </c>
      <c r="G77" s="27">
        <v>4.1900000000000004</v>
      </c>
      <c r="H77" s="24">
        <v>25.27</v>
      </c>
      <c r="I77" s="25">
        <v>100</v>
      </c>
      <c r="J77" s="26" t="s">
        <v>33</v>
      </c>
      <c r="K77" s="12">
        <f t="shared" si="1"/>
        <v>1.4194600727860702</v>
      </c>
    </row>
    <row r="78" spans="1:11" ht="16.5" thickBot="1" x14ac:dyDescent="0.3">
      <c r="A78" s="7" t="s">
        <v>8</v>
      </c>
      <c r="B78" s="27">
        <v>37.700000000000003</v>
      </c>
      <c r="C78" s="27">
        <v>200</v>
      </c>
      <c r="D78" s="28">
        <v>29220</v>
      </c>
      <c r="E78" s="27">
        <v>27</v>
      </c>
      <c r="F78" s="27" t="s">
        <v>10</v>
      </c>
      <c r="G78" s="27">
        <v>4.1900000000000004</v>
      </c>
      <c r="H78" s="24">
        <v>46.13</v>
      </c>
      <c r="I78" s="25">
        <v>99.72</v>
      </c>
      <c r="J78" s="26" t="s">
        <v>33</v>
      </c>
      <c r="K78" s="12">
        <f t="shared" si="1"/>
        <v>1.6732974397596359</v>
      </c>
    </row>
    <row r="79" spans="1:11" ht="16.5" thickBot="1" x14ac:dyDescent="0.3">
      <c r="A79" s="7" t="s">
        <v>8</v>
      </c>
      <c r="B79" s="27">
        <v>37.700000000000003</v>
      </c>
      <c r="C79" s="27">
        <v>200</v>
      </c>
      <c r="D79" s="28">
        <v>29220</v>
      </c>
      <c r="E79" s="27">
        <v>52</v>
      </c>
      <c r="F79" s="27" t="s">
        <v>10</v>
      </c>
      <c r="G79" s="27">
        <v>4.1900000000000004</v>
      </c>
      <c r="H79" s="24">
        <v>78.53</v>
      </c>
      <c r="I79" s="25">
        <v>99.66</v>
      </c>
      <c r="J79" s="26" t="s">
        <v>33</v>
      </c>
      <c r="K79" s="12">
        <f t="shared" si="1"/>
        <v>1.9005309824527559</v>
      </c>
    </row>
    <row r="80" spans="1:11" ht="16.5" thickBot="1" x14ac:dyDescent="0.3">
      <c r="A80" s="7" t="s">
        <v>8</v>
      </c>
      <c r="B80" s="27">
        <v>37.700000000000003</v>
      </c>
      <c r="C80" s="27">
        <v>200</v>
      </c>
      <c r="D80" s="28">
        <v>29220</v>
      </c>
      <c r="E80" s="27">
        <v>77</v>
      </c>
      <c r="F80" s="27" t="s">
        <v>10</v>
      </c>
      <c r="G80" s="27">
        <v>4.1900000000000004</v>
      </c>
      <c r="H80" s="24">
        <v>111.93</v>
      </c>
      <c r="I80" s="25">
        <v>99.64</v>
      </c>
      <c r="J80" s="26" t="s">
        <v>33</v>
      </c>
      <c r="K80" s="12">
        <f t="shared" si="1"/>
        <v>2.0528093281405613</v>
      </c>
    </row>
    <row r="81" spans="1:11" ht="16.5" thickBot="1" x14ac:dyDescent="0.3">
      <c r="A81" s="7" t="s">
        <v>8</v>
      </c>
      <c r="B81" s="27">
        <v>76.3</v>
      </c>
      <c r="C81" s="27">
        <v>200</v>
      </c>
      <c r="D81" s="28">
        <v>29220</v>
      </c>
      <c r="E81" s="27">
        <v>2</v>
      </c>
      <c r="F81" s="27" t="s">
        <v>10</v>
      </c>
      <c r="G81" s="27">
        <v>8.48</v>
      </c>
      <c r="H81" s="24">
        <v>82.4</v>
      </c>
      <c r="I81" s="25">
        <v>99.36</v>
      </c>
      <c r="J81" s="26" t="s">
        <v>33</v>
      </c>
      <c r="K81" s="12">
        <f t="shared" si="1"/>
        <v>1.9211660506377388</v>
      </c>
    </row>
    <row r="82" spans="1:11" ht="16.5" thickBot="1" x14ac:dyDescent="0.3">
      <c r="A82" s="7" t="s">
        <v>8</v>
      </c>
      <c r="B82" s="27">
        <v>76.3</v>
      </c>
      <c r="C82" s="27">
        <v>200</v>
      </c>
      <c r="D82" s="28">
        <v>29220</v>
      </c>
      <c r="E82" s="27">
        <v>27</v>
      </c>
      <c r="F82" s="27" t="s">
        <v>10</v>
      </c>
      <c r="G82" s="27">
        <v>8.48</v>
      </c>
      <c r="H82" s="24">
        <v>162.4</v>
      </c>
      <c r="I82" s="25">
        <v>99.34</v>
      </c>
      <c r="J82" s="26" t="s">
        <v>33</v>
      </c>
      <c r="K82" s="12">
        <f t="shared" si="1"/>
        <v>2.2132520521963968</v>
      </c>
    </row>
    <row r="83" spans="1:11" ht="16.5" thickBot="1" x14ac:dyDescent="0.3">
      <c r="A83" s="7" t="s">
        <v>8</v>
      </c>
      <c r="B83" s="27">
        <v>76.3</v>
      </c>
      <c r="C83" s="27">
        <v>200</v>
      </c>
      <c r="D83" s="28">
        <v>29220</v>
      </c>
      <c r="E83" s="27">
        <v>52</v>
      </c>
      <c r="F83" s="27" t="s">
        <v>10</v>
      </c>
      <c r="G83" s="27">
        <v>8.48</v>
      </c>
      <c r="H83" s="24">
        <v>261.33</v>
      </c>
      <c r="I83" s="25">
        <v>99.06</v>
      </c>
      <c r="J83" s="26" t="s">
        <v>33</v>
      </c>
      <c r="K83" s="12">
        <f t="shared" si="1"/>
        <v>2.4188479592500616</v>
      </c>
    </row>
    <row r="84" spans="1:11" ht="16.5" thickBot="1" x14ac:dyDescent="0.3">
      <c r="A84" s="7" t="s">
        <v>8</v>
      </c>
      <c r="B84" s="29">
        <v>76.3</v>
      </c>
      <c r="C84" s="29">
        <v>200</v>
      </c>
      <c r="D84" s="30">
        <v>29220</v>
      </c>
      <c r="E84" s="29">
        <v>77</v>
      </c>
      <c r="F84" s="29" t="s">
        <v>10</v>
      </c>
      <c r="G84" s="29">
        <v>8.48</v>
      </c>
      <c r="H84" s="31">
        <v>390.07</v>
      </c>
      <c r="I84" s="25">
        <v>99.25</v>
      </c>
      <c r="J84" s="26" t="s">
        <v>33</v>
      </c>
      <c r="K84" s="12">
        <f t="shared" si="1"/>
        <v>2.5922545013671594</v>
      </c>
    </row>
    <row r="85" spans="1:11" ht="15.75" x14ac:dyDescent="0.25">
      <c r="A85" s="32" t="s">
        <v>11</v>
      </c>
      <c r="B85" s="33">
        <v>42</v>
      </c>
      <c r="C85" s="33">
        <v>1</v>
      </c>
      <c r="D85" s="33">
        <v>30</v>
      </c>
      <c r="E85" s="33">
        <v>2</v>
      </c>
      <c r="F85" s="33" t="s">
        <v>9</v>
      </c>
      <c r="G85" s="33">
        <v>4.67</v>
      </c>
      <c r="H85" s="34">
        <v>0.19170000000000001</v>
      </c>
      <c r="I85" s="25">
        <v>100</v>
      </c>
      <c r="J85" s="26" t="s">
        <v>34</v>
      </c>
      <c r="K85" s="12">
        <f t="shared" si="1"/>
        <v>7.6166939344932585E-2</v>
      </c>
    </row>
    <row r="86" spans="1:11" ht="15.75" x14ac:dyDescent="0.25">
      <c r="A86" s="32" t="s">
        <v>11</v>
      </c>
      <c r="B86" s="33">
        <v>42</v>
      </c>
      <c r="C86" s="33">
        <v>1</v>
      </c>
      <c r="D86" s="33">
        <v>30</v>
      </c>
      <c r="E86" s="33">
        <v>27</v>
      </c>
      <c r="F86" s="33" t="s">
        <v>9</v>
      </c>
      <c r="G86" s="33">
        <v>4.67</v>
      </c>
      <c r="H86" s="34">
        <v>0.21659999999999999</v>
      </c>
      <c r="I86" s="25">
        <v>100</v>
      </c>
      <c r="J86" s="26" t="s">
        <v>34</v>
      </c>
      <c r="K86" s="12">
        <f t="shared" si="1"/>
        <v>8.5147812126904462E-2</v>
      </c>
    </row>
    <row r="87" spans="1:11" ht="15.75" x14ac:dyDescent="0.25">
      <c r="A87" s="32" t="s">
        <v>11</v>
      </c>
      <c r="B87" s="33">
        <v>42</v>
      </c>
      <c r="C87" s="33">
        <v>1</v>
      </c>
      <c r="D87" s="33">
        <v>30</v>
      </c>
      <c r="E87" s="33">
        <v>52</v>
      </c>
      <c r="F87" s="33" t="s">
        <v>9</v>
      </c>
      <c r="G87" s="33">
        <v>4.67</v>
      </c>
      <c r="H87" s="34">
        <v>0.30320000000000003</v>
      </c>
      <c r="I87" s="25">
        <v>100</v>
      </c>
      <c r="J87" s="26" t="s">
        <v>34</v>
      </c>
      <c r="K87" s="12">
        <f t="shared" si="1"/>
        <v>0.11501107130045295</v>
      </c>
    </row>
    <row r="88" spans="1:11" ht="15.75" x14ac:dyDescent="0.25">
      <c r="A88" s="32" t="s">
        <v>11</v>
      </c>
      <c r="B88" s="33">
        <v>42</v>
      </c>
      <c r="C88" s="33">
        <v>5</v>
      </c>
      <c r="D88" s="33">
        <v>30</v>
      </c>
      <c r="E88" s="33">
        <v>2</v>
      </c>
      <c r="F88" s="33" t="s">
        <v>9</v>
      </c>
      <c r="G88" s="33">
        <v>4.67</v>
      </c>
      <c r="H88" s="34">
        <v>0.30649999999999999</v>
      </c>
      <c r="I88" s="25">
        <v>100</v>
      </c>
      <c r="J88" s="26" t="s">
        <v>34</v>
      </c>
      <c r="K88" s="12">
        <f t="shared" si="1"/>
        <v>0.11610941406334445</v>
      </c>
    </row>
    <row r="89" spans="1:11" ht="15.75" x14ac:dyDescent="0.25">
      <c r="A89" s="32" t="s">
        <v>11</v>
      </c>
      <c r="B89" s="33">
        <v>42</v>
      </c>
      <c r="C89" s="33">
        <v>5</v>
      </c>
      <c r="D89" s="33">
        <v>30</v>
      </c>
      <c r="E89" s="33">
        <v>27</v>
      </c>
      <c r="F89" s="33" t="s">
        <v>9</v>
      </c>
      <c r="G89" s="33">
        <v>4.67</v>
      </c>
      <c r="H89" s="34">
        <v>0.3574</v>
      </c>
      <c r="I89" s="25">
        <v>100</v>
      </c>
      <c r="J89" s="26" t="s">
        <v>34</v>
      </c>
      <c r="K89" s="12">
        <f t="shared" si="1"/>
        <v>0.1327078448554479</v>
      </c>
    </row>
    <row r="90" spans="1:11" ht="16.5" thickBot="1" x14ac:dyDescent="0.3">
      <c r="A90" s="32" t="s">
        <v>11</v>
      </c>
      <c r="B90" s="33">
        <v>42</v>
      </c>
      <c r="C90" s="33">
        <v>5</v>
      </c>
      <c r="D90" s="33">
        <v>30</v>
      </c>
      <c r="E90" s="33">
        <v>52</v>
      </c>
      <c r="F90" s="33" t="s">
        <v>9</v>
      </c>
      <c r="G90" s="33">
        <v>4.67</v>
      </c>
      <c r="H90" s="34">
        <v>0.43859999999999999</v>
      </c>
      <c r="I90" s="25">
        <v>100</v>
      </c>
      <c r="J90" s="26" t="s">
        <v>34</v>
      </c>
      <c r="K90" s="12">
        <f t="shared" si="1"/>
        <v>0.15794005596476746</v>
      </c>
    </row>
    <row r="91" spans="1:11" ht="16.5" thickBot="1" x14ac:dyDescent="0.3">
      <c r="A91" s="32" t="s">
        <v>11</v>
      </c>
      <c r="B91" s="35">
        <v>105.6</v>
      </c>
      <c r="C91" s="35">
        <v>100</v>
      </c>
      <c r="D91" s="35">
        <v>70120</v>
      </c>
      <c r="E91" s="35">
        <v>27</v>
      </c>
      <c r="F91" s="35" t="s">
        <v>12</v>
      </c>
      <c r="G91" s="35">
        <v>11.7</v>
      </c>
      <c r="H91" s="36">
        <v>232.5</v>
      </c>
      <c r="I91" s="21">
        <v>75.962999999999994</v>
      </c>
      <c r="J91" s="26" t="s">
        <v>35</v>
      </c>
      <c r="K91" s="12">
        <f t="shared" si="1"/>
        <v>2.368286884902131</v>
      </c>
    </row>
    <row r="92" spans="1:11" ht="16.5" thickBot="1" x14ac:dyDescent="0.3">
      <c r="A92" s="32" t="s">
        <v>11</v>
      </c>
      <c r="B92" s="37">
        <v>105.6</v>
      </c>
      <c r="C92" s="37">
        <v>100</v>
      </c>
      <c r="D92" s="37">
        <v>70120</v>
      </c>
      <c r="E92" s="37">
        <v>27</v>
      </c>
      <c r="F92" s="37" t="s">
        <v>13</v>
      </c>
      <c r="G92" s="37">
        <v>11.7</v>
      </c>
      <c r="H92" s="38">
        <v>239.167</v>
      </c>
      <c r="I92" s="21">
        <v>69.778000000000006</v>
      </c>
      <c r="J92" s="26" t="s">
        <v>35</v>
      </c>
      <c r="K92" s="12">
        <f t="shared" si="1"/>
        <v>2.380513333198119</v>
      </c>
    </row>
    <row r="93" spans="1:11" ht="16.5" thickBot="1" x14ac:dyDescent="0.3">
      <c r="A93" s="32" t="s">
        <v>11</v>
      </c>
      <c r="B93" s="37">
        <v>105.6</v>
      </c>
      <c r="C93" s="37">
        <v>100</v>
      </c>
      <c r="D93" s="37">
        <v>70120</v>
      </c>
      <c r="E93" s="37">
        <v>27</v>
      </c>
      <c r="F93" s="37" t="s">
        <v>14</v>
      </c>
      <c r="G93" s="37">
        <v>11.7</v>
      </c>
      <c r="H93" s="38">
        <v>216.52799999999999</v>
      </c>
      <c r="I93" s="21">
        <v>76.703999999999994</v>
      </c>
      <c r="J93" s="26" t="s">
        <v>35</v>
      </c>
      <c r="K93" s="12">
        <f t="shared" si="1"/>
        <v>2.3375151668668952</v>
      </c>
    </row>
    <row r="94" spans="1:11" ht="16.5" thickBot="1" x14ac:dyDescent="0.3">
      <c r="A94" s="32" t="s">
        <v>11</v>
      </c>
      <c r="B94" s="37">
        <v>105.6</v>
      </c>
      <c r="C94" s="37">
        <v>100</v>
      </c>
      <c r="D94" s="37">
        <v>70120</v>
      </c>
      <c r="E94" s="37">
        <v>27</v>
      </c>
      <c r="F94" s="37" t="s">
        <v>15</v>
      </c>
      <c r="G94" s="37">
        <v>11.7</v>
      </c>
      <c r="H94" s="38">
        <v>220.88200000000001</v>
      </c>
      <c r="I94" s="19">
        <v>77.95</v>
      </c>
      <c r="J94" s="26" t="s">
        <v>35</v>
      </c>
      <c r="K94" s="12">
        <f t="shared" si="1"/>
        <v>2.3461220718680975</v>
      </c>
    </row>
    <row r="95" spans="1:11" ht="16.5" thickBot="1" x14ac:dyDescent="0.3">
      <c r="A95" s="32" t="s">
        <v>11</v>
      </c>
      <c r="B95" s="37">
        <v>105.6</v>
      </c>
      <c r="C95" s="37">
        <v>100</v>
      </c>
      <c r="D95" s="37">
        <v>70120</v>
      </c>
      <c r="E95" s="37">
        <v>27</v>
      </c>
      <c r="F95" s="37" t="s">
        <v>16</v>
      </c>
      <c r="G95" s="37">
        <v>11.7</v>
      </c>
      <c r="H95" s="38">
        <v>213.82300000000001</v>
      </c>
      <c r="I95" s="19">
        <v>88.64</v>
      </c>
      <c r="J95" s="26" t="s">
        <v>35</v>
      </c>
      <c r="K95" s="12">
        <f t="shared" si="1"/>
        <v>2.3320807772060155</v>
      </c>
    </row>
    <row r="96" spans="1:11" ht="16.5" thickBot="1" x14ac:dyDescent="0.3">
      <c r="A96" s="32" t="s">
        <v>11</v>
      </c>
      <c r="B96" s="37">
        <v>105.6</v>
      </c>
      <c r="C96" s="37">
        <v>100</v>
      </c>
      <c r="D96" s="37">
        <v>70120</v>
      </c>
      <c r="E96" s="37">
        <v>27</v>
      </c>
      <c r="F96" s="37" t="s">
        <v>17</v>
      </c>
      <c r="G96" s="37">
        <v>11.7</v>
      </c>
      <c r="H96" s="38">
        <v>198.23500000000001</v>
      </c>
      <c r="I96" s="19">
        <v>78.180000000000007</v>
      </c>
      <c r="J96" s="26" t="s">
        <v>35</v>
      </c>
      <c r="K96" s="12">
        <f t="shared" si="1"/>
        <v>2.2993656341461874</v>
      </c>
    </row>
    <row r="97" spans="1:11" ht="16.5" thickBot="1" x14ac:dyDescent="0.3">
      <c r="A97" s="32" t="s">
        <v>11</v>
      </c>
      <c r="B97" s="37">
        <v>105.6</v>
      </c>
      <c r="C97" s="37">
        <v>100</v>
      </c>
      <c r="D97" s="37">
        <v>0</v>
      </c>
      <c r="E97" s="37">
        <v>27</v>
      </c>
      <c r="F97" s="37" t="s">
        <v>13</v>
      </c>
      <c r="G97" s="37">
        <v>11.7</v>
      </c>
      <c r="H97" s="38">
        <v>592.85699999999997</v>
      </c>
      <c r="I97" s="19">
        <v>100</v>
      </c>
      <c r="J97" s="26" t="s">
        <v>35</v>
      </c>
      <c r="K97" s="12">
        <f t="shared" si="1"/>
        <v>2.7736818800188923</v>
      </c>
    </row>
    <row r="98" spans="1:11" ht="16.5" thickBot="1" x14ac:dyDescent="0.3">
      <c r="A98" s="32" t="s">
        <v>11</v>
      </c>
      <c r="B98" s="37">
        <v>105.6</v>
      </c>
      <c r="C98" s="37">
        <v>100</v>
      </c>
      <c r="D98" s="37">
        <v>35060</v>
      </c>
      <c r="E98" s="37">
        <v>27</v>
      </c>
      <c r="F98" s="37" t="s">
        <v>13</v>
      </c>
      <c r="G98" s="37">
        <v>11.7</v>
      </c>
      <c r="H98" s="38">
        <v>376.19</v>
      </c>
      <c r="I98" s="19">
        <v>98.18</v>
      </c>
      <c r="J98" s="26" t="s">
        <v>35</v>
      </c>
      <c r="K98" s="12">
        <f t="shared" si="1"/>
        <v>2.5765601702731691</v>
      </c>
    </row>
    <row r="99" spans="1:11" ht="16.5" thickBot="1" x14ac:dyDescent="0.3">
      <c r="A99" s="32" t="s">
        <v>11</v>
      </c>
      <c r="B99" s="37">
        <v>105.6</v>
      </c>
      <c r="C99" s="37">
        <v>100</v>
      </c>
      <c r="D99" s="37">
        <v>105180</v>
      </c>
      <c r="E99" s="37">
        <v>27</v>
      </c>
      <c r="F99" s="37" t="s">
        <v>13</v>
      </c>
      <c r="G99" s="37">
        <v>11.7</v>
      </c>
      <c r="H99" s="38">
        <v>128.571</v>
      </c>
      <c r="I99" s="19">
        <v>98.81</v>
      </c>
      <c r="J99" s="26" t="s">
        <v>35</v>
      </c>
      <c r="K99" s="12">
        <f t="shared" si="1"/>
        <v>2.1125078105677786</v>
      </c>
    </row>
    <row r="100" spans="1:11" ht="16.5" thickBot="1" x14ac:dyDescent="0.3">
      <c r="A100" s="32" t="s">
        <v>11</v>
      </c>
      <c r="B100" s="37">
        <v>105.6</v>
      </c>
      <c r="C100" s="37">
        <v>100</v>
      </c>
      <c r="D100" s="37">
        <v>0</v>
      </c>
      <c r="E100" s="37">
        <v>27</v>
      </c>
      <c r="F100" s="37" t="s">
        <v>12</v>
      </c>
      <c r="G100" s="37">
        <v>11.7</v>
      </c>
      <c r="H100" s="38">
        <v>584.78300000000002</v>
      </c>
      <c r="I100" s="19">
        <v>100</v>
      </c>
      <c r="J100" s="26" t="s">
        <v>35</v>
      </c>
      <c r="K100" s="12">
        <f t="shared" si="1"/>
        <v>2.767736763874562</v>
      </c>
    </row>
    <row r="101" spans="1:11" ht="16.5" thickBot="1" x14ac:dyDescent="0.3">
      <c r="A101" s="32" t="s">
        <v>11</v>
      </c>
      <c r="B101" s="37">
        <v>105.6</v>
      </c>
      <c r="C101" s="37">
        <v>100</v>
      </c>
      <c r="D101" s="37">
        <v>35060</v>
      </c>
      <c r="E101" s="37">
        <v>27</v>
      </c>
      <c r="F101" s="37" t="s">
        <v>12</v>
      </c>
      <c r="G101" s="37">
        <v>11.7</v>
      </c>
      <c r="H101" s="38">
        <v>376.08699999999999</v>
      </c>
      <c r="I101" s="19">
        <v>98.66</v>
      </c>
      <c r="J101" s="26" t="s">
        <v>35</v>
      </c>
      <c r="K101" s="12">
        <f t="shared" si="1"/>
        <v>2.5764415604470337</v>
      </c>
    </row>
    <row r="102" spans="1:11" ht="16.5" thickBot="1" x14ac:dyDescent="0.3">
      <c r="A102" s="32" t="s">
        <v>11</v>
      </c>
      <c r="B102" s="37">
        <v>105.6</v>
      </c>
      <c r="C102" s="37">
        <v>100</v>
      </c>
      <c r="D102" s="37">
        <v>105180</v>
      </c>
      <c r="E102" s="37">
        <v>27</v>
      </c>
      <c r="F102" s="37" t="s">
        <v>12</v>
      </c>
      <c r="G102" s="37">
        <v>11.7</v>
      </c>
      <c r="H102" s="38">
        <v>147.82599999999999</v>
      </c>
      <c r="I102" s="39">
        <v>99.12</v>
      </c>
      <c r="J102" s="26" t="s">
        <v>35</v>
      </c>
      <c r="K102" s="12">
        <f t="shared" si="1"/>
        <v>2.1726788093694172</v>
      </c>
    </row>
    <row r="103" spans="1:11" ht="16.5" thickBot="1" x14ac:dyDescent="0.3">
      <c r="A103" s="32" t="s">
        <v>11</v>
      </c>
      <c r="B103" s="37">
        <v>105.6</v>
      </c>
      <c r="C103" s="37">
        <v>100</v>
      </c>
      <c r="D103" s="37">
        <v>0</v>
      </c>
      <c r="E103" s="37">
        <v>27</v>
      </c>
      <c r="F103" s="37" t="s">
        <v>14</v>
      </c>
      <c r="G103" s="37">
        <v>11.7</v>
      </c>
      <c r="H103" s="38">
        <v>580.43499999999995</v>
      </c>
      <c r="I103" s="19">
        <v>100</v>
      </c>
      <c r="J103" s="26" t="s">
        <v>35</v>
      </c>
      <c r="K103" s="12">
        <f t="shared" si="1"/>
        <v>2.7645011709661587</v>
      </c>
    </row>
    <row r="104" spans="1:11" ht="16.5" thickBot="1" x14ac:dyDescent="0.3">
      <c r="A104" s="32" t="s">
        <v>11</v>
      </c>
      <c r="B104" s="37">
        <v>105.6</v>
      </c>
      <c r="C104" s="37">
        <v>100</v>
      </c>
      <c r="D104" s="37">
        <v>35060</v>
      </c>
      <c r="E104" s="37">
        <v>27</v>
      </c>
      <c r="F104" s="37" t="s">
        <v>14</v>
      </c>
      <c r="G104" s="37">
        <v>11.7</v>
      </c>
      <c r="H104" s="38">
        <v>360.86900000000003</v>
      </c>
      <c r="I104" s="39">
        <v>99.16</v>
      </c>
      <c r="J104" s="26" t="s">
        <v>35</v>
      </c>
      <c r="K104" s="12">
        <f t="shared" si="1"/>
        <v>2.5585513802742916</v>
      </c>
    </row>
    <row r="105" spans="1:11" ht="16.5" thickBot="1" x14ac:dyDescent="0.3">
      <c r="A105" s="32" t="s">
        <v>11</v>
      </c>
      <c r="B105" s="37">
        <v>105.6</v>
      </c>
      <c r="C105" s="37">
        <v>100</v>
      </c>
      <c r="D105" s="37">
        <v>105180</v>
      </c>
      <c r="E105" s="37">
        <v>27</v>
      </c>
      <c r="F105" s="37" t="s">
        <v>14</v>
      </c>
      <c r="G105" s="37">
        <v>11.7</v>
      </c>
      <c r="H105" s="38">
        <v>113.04300000000001</v>
      </c>
      <c r="I105" s="39">
        <v>99.25</v>
      </c>
      <c r="J105" s="26" t="s">
        <v>35</v>
      </c>
      <c r="K105" s="12">
        <f t="shared" si="1"/>
        <v>2.0570686332806076</v>
      </c>
    </row>
    <row r="106" spans="1:11" ht="16.5" thickBot="1" x14ac:dyDescent="0.3">
      <c r="A106" s="7" t="s">
        <v>8</v>
      </c>
      <c r="B106" s="22">
        <v>1.1499999999999999</v>
      </c>
      <c r="C106" s="40">
        <v>10</v>
      </c>
      <c r="D106" s="22">
        <v>58440</v>
      </c>
      <c r="E106" s="40">
        <v>75</v>
      </c>
      <c r="F106" s="40" t="s">
        <v>18</v>
      </c>
      <c r="G106" s="22">
        <v>5.8000000000000003E-2</v>
      </c>
      <c r="H106" s="41">
        <v>0.49020000000000002</v>
      </c>
      <c r="I106" s="42">
        <v>100</v>
      </c>
      <c r="J106" s="43" t="s">
        <v>36</v>
      </c>
      <c r="K106" s="12">
        <f t="shared" si="1"/>
        <v>0.17324455906156672</v>
      </c>
    </row>
    <row r="107" spans="1:11" ht="16.5" thickBot="1" x14ac:dyDescent="0.3">
      <c r="A107" s="7" t="s">
        <v>8</v>
      </c>
      <c r="B107" s="27">
        <v>11.73</v>
      </c>
      <c r="C107" s="8">
        <v>10</v>
      </c>
      <c r="D107" s="27">
        <v>58440</v>
      </c>
      <c r="E107" s="8">
        <v>75</v>
      </c>
      <c r="F107" s="40" t="s">
        <v>18</v>
      </c>
      <c r="G107" s="27">
        <v>0.58699999999999997</v>
      </c>
      <c r="H107" s="44">
        <v>0.98040000000000005</v>
      </c>
      <c r="I107" s="42">
        <v>100</v>
      </c>
      <c r="J107" s="43" t="s">
        <v>36</v>
      </c>
      <c r="K107" s="12">
        <f t="shared" si="1"/>
        <v>0.29675291765944645</v>
      </c>
    </row>
    <row r="108" spans="1:11" ht="16.5" thickBot="1" x14ac:dyDescent="0.3">
      <c r="A108" s="7" t="s">
        <v>8</v>
      </c>
      <c r="B108" s="27">
        <v>23.85</v>
      </c>
      <c r="C108" s="8">
        <v>10</v>
      </c>
      <c r="D108" s="27">
        <v>58440</v>
      </c>
      <c r="E108" s="8">
        <v>75</v>
      </c>
      <c r="F108" s="40" t="s">
        <v>18</v>
      </c>
      <c r="G108" s="27">
        <v>1.1919999999999999</v>
      </c>
      <c r="H108" s="44">
        <v>5.3921000000000001</v>
      </c>
      <c r="I108" s="42">
        <v>99.512</v>
      </c>
      <c r="J108" s="43" t="s">
        <v>36</v>
      </c>
      <c r="K108" s="12">
        <f t="shared" si="1"/>
        <v>0.80564356059699826</v>
      </c>
    </row>
    <row r="109" spans="1:11" ht="16.5" thickBot="1" x14ac:dyDescent="0.3">
      <c r="A109" s="7" t="s">
        <v>8</v>
      </c>
      <c r="B109" s="27">
        <v>36.35</v>
      </c>
      <c r="C109" s="8">
        <v>10</v>
      </c>
      <c r="D109" s="27">
        <v>58440</v>
      </c>
      <c r="E109" s="8">
        <v>75</v>
      </c>
      <c r="F109" s="40" t="s">
        <v>18</v>
      </c>
      <c r="G109" s="27">
        <v>1.8169999999999999</v>
      </c>
      <c r="H109" s="44">
        <v>7.3529999999999998</v>
      </c>
      <c r="I109" s="42">
        <v>98.0488</v>
      </c>
      <c r="J109" s="43" t="s">
        <v>36</v>
      </c>
      <c r="K109" s="12">
        <f t="shared" si="1"/>
        <v>0.92184248140585789</v>
      </c>
    </row>
    <row r="110" spans="1:11" ht="16.5" thickBot="1" x14ac:dyDescent="0.3">
      <c r="A110" s="7" t="s">
        <v>8</v>
      </c>
      <c r="B110" s="27">
        <v>48.46</v>
      </c>
      <c r="C110" s="8">
        <v>10</v>
      </c>
      <c r="D110" s="27">
        <v>58440</v>
      </c>
      <c r="E110" s="8">
        <v>75</v>
      </c>
      <c r="F110" s="40" t="s">
        <v>18</v>
      </c>
      <c r="G110" s="27">
        <v>2.423</v>
      </c>
      <c r="H110" s="44">
        <v>17.646999999999998</v>
      </c>
      <c r="I110" s="42">
        <v>93.658000000000001</v>
      </c>
      <c r="J110" s="43" t="s">
        <v>36</v>
      </c>
      <c r="K110" s="12">
        <f t="shared" si="1"/>
        <v>1.270608970823178</v>
      </c>
    </row>
    <row r="111" spans="1:11" ht="16.5" thickBot="1" x14ac:dyDescent="0.3">
      <c r="A111" s="7" t="s">
        <v>8</v>
      </c>
      <c r="B111" s="27">
        <v>61.54</v>
      </c>
      <c r="C111" s="8">
        <v>10</v>
      </c>
      <c r="D111" s="27">
        <v>58440</v>
      </c>
      <c r="E111" s="8">
        <v>75</v>
      </c>
      <c r="F111" s="40" t="s">
        <v>18</v>
      </c>
      <c r="G111" s="27">
        <v>3.077</v>
      </c>
      <c r="H111" s="44">
        <v>12.744999999999999</v>
      </c>
      <c r="I111" s="42">
        <v>89.268000000000001</v>
      </c>
      <c r="J111" s="43" t="s">
        <v>36</v>
      </c>
      <c r="K111" s="12">
        <f t="shared" si="1"/>
        <v>1.1381447441794872</v>
      </c>
    </row>
    <row r="112" spans="1:11" ht="16.5" thickBot="1" x14ac:dyDescent="0.3">
      <c r="A112" s="7" t="s">
        <v>8</v>
      </c>
      <c r="B112" s="27">
        <v>75.19</v>
      </c>
      <c r="C112" s="8">
        <v>10</v>
      </c>
      <c r="D112" s="27">
        <v>58440</v>
      </c>
      <c r="E112" s="8">
        <v>75</v>
      </c>
      <c r="F112" s="40" t="s">
        <v>18</v>
      </c>
      <c r="G112" s="27">
        <v>3.76</v>
      </c>
      <c r="H112" s="44">
        <v>25.49</v>
      </c>
      <c r="I112" s="42">
        <v>85.366</v>
      </c>
      <c r="J112" s="43" t="s">
        <v>36</v>
      </c>
      <c r="K112" s="12">
        <f t="shared" si="1"/>
        <v>1.4230819582972309</v>
      </c>
    </row>
    <row r="113" spans="1:11" ht="16.5" thickBot="1" x14ac:dyDescent="0.3">
      <c r="A113" s="7" t="s">
        <v>8</v>
      </c>
      <c r="B113" s="27">
        <v>1.1499999999999999</v>
      </c>
      <c r="C113" s="8">
        <v>20</v>
      </c>
      <c r="D113" s="27">
        <v>58440</v>
      </c>
      <c r="E113" s="8">
        <v>75</v>
      </c>
      <c r="F113" s="40" t="s">
        <v>18</v>
      </c>
      <c r="G113" s="27">
        <v>5.8000000000000003E-2</v>
      </c>
      <c r="H113" s="44">
        <v>0.49020000000000002</v>
      </c>
      <c r="I113" s="10">
        <v>99.990700000000004</v>
      </c>
      <c r="J113" s="43" t="s">
        <v>36</v>
      </c>
      <c r="K113" s="12">
        <f t="shared" si="1"/>
        <v>0.17324455906156672</v>
      </c>
    </row>
    <row r="114" spans="1:11" ht="16.5" thickBot="1" x14ac:dyDescent="0.3">
      <c r="A114" s="7" t="s">
        <v>8</v>
      </c>
      <c r="B114" s="27">
        <v>11.73</v>
      </c>
      <c r="C114" s="8">
        <v>20</v>
      </c>
      <c r="D114" s="27">
        <v>58440</v>
      </c>
      <c r="E114" s="8">
        <v>75</v>
      </c>
      <c r="F114" s="40" t="s">
        <v>18</v>
      </c>
      <c r="G114" s="27">
        <v>0.58699999999999997</v>
      </c>
      <c r="H114" s="44">
        <v>3.9209999999999998</v>
      </c>
      <c r="I114" s="10">
        <v>99.819599999999994</v>
      </c>
      <c r="J114" s="43" t="s">
        <v>36</v>
      </c>
      <c r="K114" s="12">
        <f t="shared" si="1"/>
        <v>0.69205336503408077</v>
      </c>
    </row>
    <row r="115" spans="1:11" ht="16.5" thickBot="1" x14ac:dyDescent="0.3">
      <c r="A115" s="7" t="s">
        <v>8</v>
      </c>
      <c r="B115" s="27">
        <v>23.85</v>
      </c>
      <c r="C115" s="8">
        <v>20</v>
      </c>
      <c r="D115" s="27">
        <v>58440</v>
      </c>
      <c r="E115" s="8">
        <v>75</v>
      </c>
      <c r="F115" s="40" t="s">
        <v>18</v>
      </c>
      <c r="G115" s="27">
        <v>1.1919999999999999</v>
      </c>
      <c r="H115" s="44">
        <v>12.744999999999999</v>
      </c>
      <c r="I115" s="10">
        <v>98.851699999999994</v>
      </c>
      <c r="J115" s="43" t="s">
        <v>36</v>
      </c>
      <c r="K115" s="12">
        <f t="shared" si="1"/>
        <v>1.1381447441794872</v>
      </c>
    </row>
    <row r="116" spans="1:11" ht="16.5" thickBot="1" x14ac:dyDescent="0.3">
      <c r="A116" s="7" t="s">
        <v>8</v>
      </c>
      <c r="B116" s="27">
        <v>36.35</v>
      </c>
      <c r="C116" s="8">
        <v>20</v>
      </c>
      <c r="D116" s="27">
        <v>58440</v>
      </c>
      <c r="E116" s="8">
        <v>75</v>
      </c>
      <c r="F116" s="40" t="s">
        <v>18</v>
      </c>
      <c r="G116" s="27">
        <v>1.8169999999999999</v>
      </c>
      <c r="H116" s="44">
        <v>24.51</v>
      </c>
      <c r="I116" s="10">
        <v>96.912599999999998</v>
      </c>
      <c r="J116" s="43" t="s">
        <v>36</v>
      </c>
      <c r="K116" s="12">
        <f t="shared" si="1"/>
        <v>1.40671045860979</v>
      </c>
    </row>
    <row r="117" spans="1:11" ht="16.5" thickBot="1" x14ac:dyDescent="0.3">
      <c r="A117" s="7" t="s">
        <v>8</v>
      </c>
      <c r="B117" s="27">
        <v>48.46</v>
      </c>
      <c r="C117" s="8">
        <v>20</v>
      </c>
      <c r="D117" s="27">
        <v>58440</v>
      </c>
      <c r="E117" s="8">
        <v>75</v>
      </c>
      <c r="F117" s="40" t="s">
        <v>18</v>
      </c>
      <c r="G117" s="27">
        <v>2.423</v>
      </c>
      <c r="H117" s="44">
        <v>38.725000000000001</v>
      </c>
      <c r="I117" s="10">
        <v>85.662099999999995</v>
      </c>
      <c r="J117" s="43" t="s">
        <v>36</v>
      </c>
      <c r="K117" s="12">
        <f t="shared" si="1"/>
        <v>1.5990639058794172</v>
      </c>
    </row>
    <row r="118" spans="1:11" ht="16.5" thickBot="1" x14ac:dyDescent="0.3">
      <c r="A118" s="7" t="s">
        <v>8</v>
      </c>
      <c r="B118" s="27">
        <v>61.54</v>
      </c>
      <c r="C118" s="8">
        <v>20</v>
      </c>
      <c r="D118" s="27">
        <v>58440</v>
      </c>
      <c r="E118" s="8">
        <v>75</v>
      </c>
      <c r="F118" s="40" t="s">
        <v>18</v>
      </c>
      <c r="G118" s="27">
        <v>3.077</v>
      </c>
      <c r="H118" s="44">
        <v>52.451000000000001</v>
      </c>
      <c r="I118" s="10">
        <v>95.271900000000002</v>
      </c>
      <c r="J118" s="43" t="s">
        <v>36</v>
      </c>
      <c r="K118" s="12">
        <f t="shared" si="1"/>
        <v>1.7279558347163464</v>
      </c>
    </row>
    <row r="119" spans="1:11" ht="16.5" thickBot="1" x14ac:dyDescent="0.3">
      <c r="A119" s="7" t="s">
        <v>8</v>
      </c>
      <c r="B119" s="27">
        <v>75.19</v>
      </c>
      <c r="C119" s="8">
        <v>20</v>
      </c>
      <c r="D119" s="27">
        <v>58440</v>
      </c>
      <c r="E119" s="8">
        <v>75</v>
      </c>
      <c r="F119" s="40" t="s">
        <v>18</v>
      </c>
      <c r="G119" s="27">
        <v>3.76</v>
      </c>
      <c r="H119" s="44">
        <v>69.608000000000004</v>
      </c>
      <c r="I119" s="10">
        <v>64.239599999999996</v>
      </c>
      <c r="J119" s="43" t="s">
        <v>36</v>
      </c>
      <c r="K119" s="12">
        <f t="shared" si="1"/>
        <v>1.8488539101031174</v>
      </c>
    </row>
    <row r="120" spans="1:11" ht="16.5" thickBot="1" x14ac:dyDescent="0.3">
      <c r="A120" s="7" t="s">
        <v>8</v>
      </c>
      <c r="B120" s="27">
        <v>1.1499999999999999</v>
      </c>
      <c r="C120" s="8">
        <v>50</v>
      </c>
      <c r="D120" s="27">
        <v>58440</v>
      </c>
      <c r="E120" s="8">
        <v>75</v>
      </c>
      <c r="F120" s="40" t="s">
        <v>18</v>
      </c>
      <c r="G120" s="27">
        <v>5.8000000000000003E-2</v>
      </c>
      <c r="H120" s="44">
        <v>0.49020000000000002</v>
      </c>
      <c r="I120" s="42">
        <v>100</v>
      </c>
      <c r="J120" s="43" t="s">
        <v>36</v>
      </c>
      <c r="K120" s="12">
        <f t="shared" si="1"/>
        <v>0.17324455906156672</v>
      </c>
    </row>
    <row r="121" spans="1:11" ht="16.5" thickBot="1" x14ac:dyDescent="0.3">
      <c r="A121" s="7" t="s">
        <v>8</v>
      </c>
      <c r="B121" s="27">
        <v>11.73</v>
      </c>
      <c r="C121" s="8">
        <v>50</v>
      </c>
      <c r="D121" s="27">
        <v>58440</v>
      </c>
      <c r="E121" s="8">
        <v>75</v>
      </c>
      <c r="F121" s="40" t="s">
        <v>18</v>
      </c>
      <c r="G121" s="27">
        <v>0.58699999999999997</v>
      </c>
      <c r="H121" s="44">
        <v>13.725</v>
      </c>
      <c r="I121" s="42">
        <v>100</v>
      </c>
      <c r="J121" s="43" t="s">
        <v>36</v>
      </c>
      <c r="K121" s="12">
        <f t="shared" si="1"/>
        <v>1.1680553034591392</v>
      </c>
    </row>
    <row r="122" spans="1:11" ht="16.5" thickBot="1" x14ac:dyDescent="0.3">
      <c r="A122" s="7" t="s">
        <v>8</v>
      </c>
      <c r="B122" s="27">
        <v>23.85</v>
      </c>
      <c r="C122" s="8">
        <v>50</v>
      </c>
      <c r="D122" s="27">
        <v>58440</v>
      </c>
      <c r="E122" s="8">
        <v>75</v>
      </c>
      <c r="F122" s="40" t="s">
        <v>18</v>
      </c>
      <c r="G122" s="27">
        <v>1.1919999999999999</v>
      </c>
      <c r="H122" s="44">
        <v>40.195999999999998</v>
      </c>
      <c r="I122" s="42">
        <v>97.143000000000001</v>
      </c>
      <c r="J122" s="43" t="s">
        <v>36</v>
      </c>
      <c r="K122" s="12">
        <f t="shared" si="1"/>
        <v>1.6148550494733749</v>
      </c>
    </row>
    <row r="123" spans="1:11" ht="16.5" thickBot="1" x14ac:dyDescent="0.3">
      <c r="A123" s="7" t="s">
        <v>8</v>
      </c>
      <c r="B123" s="27">
        <v>36.35</v>
      </c>
      <c r="C123" s="8">
        <v>50</v>
      </c>
      <c r="D123" s="27">
        <v>58440</v>
      </c>
      <c r="E123" s="8">
        <v>75</v>
      </c>
      <c r="F123" s="40" t="s">
        <v>18</v>
      </c>
      <c r="G123" s="27">
        <v>1.8169999999999999</v>
      </c>
      <c r="H123" s="44">
        <v>66.176000000000002</v>
      </c>
      <c r="I123" s="42">
        <v>87.619</v>
      </c>
      <c r="J123" s="43" t="s">
        <v>36</v>
      </c>
      <c r="K123" s="12">
        <f t="shared" si="1"/>
        <v>1.8272141401777684</v>
      </c>
    </row>
    <row r="124" spans="1:11" ht="16.5" thickBot="1" x14ac:dyDescent="0.3">
      <c r="A124" s="7" t="s">
        <v>8</v>
      </c>
      <c r="B124" s="27">
        <v>48.46</v>
      </c>
      <c r="C124" s="8">
        <v>50</v>
      </c>
      <c r="D124" s="27">
        <v>58440</v>
      </c>
      <c r="E124" s="8">
        <v>75</v>
      </c>
      <c r="F124" s="40" t="s">
        <v>18</v>
      </c>
      <c r="G124" s="27">
        <v>2.423</v>
      </c>
      <c r="H124" s="44">
        <v>95.587999999999994</v>
      </c>
      <c r="I124" s="42">
        <v>79.522999999999996</v>
      </c>
      <c r="J124" s="43" t="s">
        <v>36</v>
      </c>
      <c r="K124" s="12">
        <f t="shared" si="1"/>
        <v>1.9849231734392263</v>
      </c>
    </row>
    <row r="125" spans="1:11" ht="16.5" thickBot="1" x14ac:dyDescent="0.3">
      <c r="A125" s="7" t="s">
        <v>8</v>
      </c>
      <c r="B125" s="27">
        <v>61.54</v>
      </c>
      <c r="C125" s="8">
        <v>50</v>
      </c>
      <c r="D125" s="27">
        <v>58440</v>
      </c>
      <c r="E125" s="8">
        <v>75</v>
      </c>
      <c r="F125" s="40" t="s">
        <v>18</v>
      </c>
      <c r="G125" s="27">
        <v>3.077</v>
      </c>
      <c r="H125" s="44">
        <v>134.804</v>
      </c>
      <c r="I125" s="42">
        <v>67.143000000000001</v>
      </c>
      <c r="J125" s="43" t="s">
        <v>36</v>
      </c>
      <c r="K125" s="12">
        <f t="shared" si="1"/>
        <v>2.1329125619352323</v>
      </c>
    </row>
    <row r="126" spans="1:11" ht="16.5" thickBot="1" x14ac:dyDescent="0.3">
      <c r="A126" s="7" t="s">
        <v>8</v>
      </c>
      <c r="B126" s="27">
        <v>75.19</v>
      </c>
      <c r="C126" s="8">
        <v>50</v>
      </c>
      <c r="D126" s="27">
        <v>58440</v>
      </c>
      <c r="E126" s="8">
        <v>75</v>
      </c>
      <c r="F126" s="40" t="s">
        <v>18</v>
      </c>
      <c r="G126" s="27">
        <v>3.76</v>
      </c>
      <c r="H126" s="44">
        <v>172.059</v>
      </c>
      <c r="I126" s="42">
        <v>53.332999999999998</v>
      </c>
      <c r="J126" s="43" t="s">
        <v>36</v>
      </c>
      <c r="K126" s="12">
        <f t="shared" si="1"/>
        <v>2.2381941898693833</v>
      </c>
    </row>
    <row r="127" spans="1:11" ht="18" thickBot="1" x14ac:dyDescent="0.3">
      <c r="A127" s="7" t="s">
        <v>8</v>
      </c>
      <c r="B127" s="45">
        <v>0.57999999999999996</v>
      </c>
      <c r="C127" s="8">
        <v>10</v>
      </c>
      <c r="D127" s="27">
        <v>58440</v>
      </c>
      <c r="E127" s="8">
        <v>75</v>
      </c>
      <c r="F127" s="27" t="s">
        <v>19</v>
      </c>
      <c r="G127" s="27">
        <v>2.9000000000000001E-2</v>
      </c>
      <c r="H127" s="44">
        <v>0.49020000000000002</v>
      </c>
      <c r="I127" s="42">
        <v>100</v>
      </c>
      <c r="J127" s="43" t="s">
        <v>36</v>
      </c>
      <c r="K127" s="12">
        <f t="shared" si="1"/>
        <v>0.17324455906156672</v>
      </c>
    </row>
    <row r="128" spans="1:11" ht="18" thickBot="1" x14ac:dyDescent="0.3">
      <c r="A128" s="7" t="s">
        <v>8</v>
      </c>
      <c r="B128" s="45">
        <v>6.73</v>
      </c>
      <c r="C128" s="8">
        <v>10</v>
      </c>
      <c r="D128" s="27">
        <v>58440</v>
      </c>
      <c r="E128" s="8">
        <v>75</v>
      </c>
      <c r="F128" s="27" t="s">
        <v>19</v>
      </c>
      <c r="G128" s="27">
        <v>0.33700000000000002</v>
      </c>
      <c r="H128" s="44">
        <v>0.98</v>
      </c>
      <c r="I128" s="42">
        <v>100</v>
      </c>
      <c r="J128" s="43" t="s">
        <v>36</v>
      </c>
      <c r="K128" s="12">
        <f t="shared" si="1"/>
        <v>0.2966651902615311</v>
      </c>
    </row>
    <row r="129" spans="1:11" ht="18" thickBot="1" x14ac:dyDescent="0.3">
      <c r="A129" s="7" t="s">
        <v>8</v>
      </c>
      <c r="B129" s="45">
        <v>17.88</v>
      </c>
      <c r="C129" s="8">
        <v>10</v>
      </c>
      <c r="D129" s="27">
        <v>58440</v>
      </c>
      <c r="E129" s="8">
        <v>75</v>
      </c>
      <c r="F129" s="27" t="s">
        <v>19</v>
      </c>
      <c r="G129" s="27">
        <v>0.89400000000000002</v>
      </c>
      <c r="H129" s="44">
        <v>1.47</v>
      </c>
      <c r="I129" s="42">
        <v>100</v>
      </c>
      <c r="J129" s="43" t="s">
        <v>36</v>
      </c>
      <c r="K129" s="12">
        <f t="shared" si="1"/>
        <v>0.39269695325966569</v>
      </c>
    </row>
    <row r="130" spans="1:11" ht="18" thickBot="1" x14ac:dyDescent="0.3">
      <c r="A130" s="7" t="s">
        <v>8</v>
      </c>
      <c r="B130" s="45">
        <v>29.04</v>
      </c>
      <c r="C130" s="8">
        <v>10</v>
      </c>
      <c r="D130" s="27">
        <v>58440</v>
      </c>
      <c r="E130" s="8">
        <v>75</v>
      </c>
      <c r="F130" s="27" t="s">
        <v>19</v>
      </c>
      <c r="G130" s="27">
        <v>1.452</v>
      </c>
      <c r="H130" s="44">
        <v>2.4510000000000001</v>
      </c>
      <c r="I130" s="42">
        <v>98.570999999999998</v>
      </c>
      <c r="J130" s="43" t="s">
        <v>36</v>
      </c>
      <c r="K130" s="12">
        <f t="shared" si="1"/>
        <v>0.53794495929148689</v>
      </c>
    </row>
    <row r="131" spans="1:11" ht="18" thickBot="1" x14ac:dyDescent="0.3">
      <c r="A131" s="7" t="s">
        <v>8</v>
      </c>
      <c r="B131" s="45">
        <v>39.81</v>
      </c>
      <c r="C131" s="8">
        <v>10</v>
      </c>
      <c r="D131" s="27">
        <v>58440</v>
      </c>
      <c r="E131" s="8">
        <v>75</v>
      </c>
      <c r="F131" s="27" t="s">
        <v>19</v>
      </c>
      <c r="G131" s="27">
        <v>1.99</v>
      </c>
      <c r="H131" s="44">
        <v>24.51</v>
      </c>
      <c r="I131" s="42">
        <v>93.808999999999997</v>
      </c>
      <c r="J131" s="43" t="s">
        <v>36</v>
      </c>
      <c r="K131" s="12">
        <f t="shared" ref="K131:K194" si="2">LOG(H131+1)</f>
        <v>1.40671045860979</v>
      </c>
    </row>
    <row r="132" spans="1:11" ht="18" thickBot="1" x14ac:dyDescent="0.3">
      <c r="A132" s="7" t="s">
        <v>8</v>
      </c>
      <c r="B132" s="45">
        <v>51.15</v>
      </c>
      <c r="C132" s="8">
        <v>10</v>
      </c>
      <c r="D132" s="27">
        <v>58440</v>
      </c>
      <c r="E132" s="8">
        <v>75</v>
      </c>
      <c r="F132" s="27" t="s">
        <v>19</v>
      </c>
      <c r="G132" s="27">
        <v>2.5579999999999998</v>
      </c>
      <c r="H132" s="44">
        <v>5.8819999999999997</v>
      </c>
      <c r="I132" s="42">
        <v>89.524000000000001</v>
      </c>
      <c r="J132" s="43" t="s">
        <v>36</v>
      </c>
      <c r="K132" s="12">
        <f t="shared" si="2"/>
        <v>0.83771466828491126</v>
      </c>
    </row>
    <row r="133" spans="1:11" ht="18" thickBot="1" x14ac:dyDescent="0.3">
      <c r="A133" s="7" t="s">
        <v>8</v>
      </c>
      <c r="B133" s="45">
        <v>65.77</v>
      </c>
      <c r="C133" s="8">
        <v>10</v>
      </c>
      <c r="D133" s="27">
        <v>58440</v>
      </c>
      <c r="E133" s="8">
        <v>75</v>
      </c>
      <c r="F133" s="27" t="s">
        <v>19</v>
      </c>
      <c r="G133" s="27">
        <v>3.2879999999999998</v>
      </c>
      <c r="H133" s="44">
        <v>9.8040000000000003</v>
      </c>
      <c r="I133" s="42">
        <v>80.951999999999998</v>
      </c>
      <c r="J133" s="43" t="s">
        <v>36</v>
      </c>
      <c r="K133" s="12">
        <f t="shared" si="2"/>
        <v>1.0335845755154134</v>
      </c>
    </row>
    <row r="134" spans="1:11" ht="18" thickBot="1" x14ac:dyDescent="0.3">
      <c r="A134" s="7" t="s">
        <v>8</v>
      </c>
      <c r="B134" s="45">
        <v>0.57999999999999996</v>
      </c>
      <c r="C134" s="8">
        <v>20</v>
      </c>
      <c r="D134" s="27">
        <v>58440</v>
      </c>
      <c r="E134" s="8">
        <v>75</v>
      </c>
      <c r="F134" s="27" t="s">
        <v>19</v>
      </c>
      <c r="G134" s="27">
        <v>2.9000000000000001E-2</v>
      </c>
      <c r="H134" s="44">
        <v>0.49020000000000002</v>
      </c>
      <c r="I134" s="10">
        <v>99.990700000000004</v>
      </c>
      <c r="J134" s="43" t="s">
        <v>36</v>
      </c>
      <c r="K134" s="12">
        <f t="shared" si="2"/>
        <v>0.17324455906156672</v>
      </c>
    </row>
    <row r="135" spans="1:11" ht="18" thickBot="1" x14ac:dyDescent="0.3">
      <c r="A135" s="7" t="s">
        <v>8</v>
      </c>
      <c r="B135" s="45">
        <v>6.73</v>
      </c>
      <c r="C135" s="8">
        <v>20</v>
      </c>
      <c r="D135" s="27">
        <v>58440</v>
      </c>
      <c r="E135" s="8">
        <v>75</v>
      </c>
      <c r="F135" s="27" t="s">
        <v>19</v>
      </c>
      <c r="G135" s="27">
        <v>0.33700000000000002</v>
      </c>
      <c r="H135" s="44">
        <v>0.98</v>
      </c>
      <c r="I135" s="10">
        <v>99.990899999999996</v>
      </c>
      <c r="J135" s="43" t="s">
        <v>36</v>
      </c>
      <c r="K135" s="12">
        <f t="shared" si="2"/>
        <v>0.2966651902615311</v>
      </c>
    </row>
    <row r="136" spans="1:11" ht="18" thickBot="1" x14ac:dyDescent="0.3">
      <c r="A136" s="7" t="s">
        <v>8</v>
      </c>
      <c r="B136" s="45">
        <v>17.88</v>
      </c>
      <c r="C136" s="8">
        <v>20</v>
      </c>
      <c r="D136" s="27">
        <v>58440</v>
      </c>
      <c r="E136" s="8">
        <v>75</v>
      </c>
      <c r="F136" s="27" t="s">
        <v>19</v>
      </c>
      <c r="G136" s="27">
        <v>0.89400000000000002</v>
      </c>
      <c r="H136" s="44">
        <v>2.9409999999999998</v>
      </c>
      <c r="I136" s="10">
        <v>99.819599999999994</v>
      </c>
      <c r="J136" s="43" t="s">
        <v>36</v>
      </c>
      <c r="K136" s="12">
        <f t="shared" si="2"/>
        <v>0.59560643486560305</v>
      </c>
    </row>
    <row r="137" spans="1:11" ht="18" thickBot="1" x14ac:dyDescent="0.3">
      <c r="A137" s="7" t="s">
        <v>8</v>
      </c>
      <c r="B137" s="45">
        <v>29.04</v>
      </c>
      <c r="C137" s="8">
        <v>20</v>
      </c>
      <c r="D137" s="27">
        <v>58440</v>
      </c>
      <c r="E137" s="8">
        <v>75</v>
      </c>
      <c r="F137" s="27" t="s">
        <v>19</v>
      </c>
      <c r="G137" s="27">
        <v>1.452</v>
      </c>
      <c r="H137" s="44">
        <v>6.8630000000000004</v>
      </c>
      <c r="I137" s="10">
        <v>97.563500000000005</v>
      </c>
      <c r="J137" s="43" t="s">
        <v>36</v>
      </c>
      <c r="K137" s="12">
        <f t="shared" si="2"/>
        <v>0.89558827566626298</v>
      </c>
    </row>
    <row r="138" spans="1:11" ht="18" thickBot="1" x14ac:dyDescent="0.3">
      <c r="A138" s="7" t="s">
        <v>8</v>
      </c>
      <c r="B138" s="45">
        <v>39.81</v>
      </c>
      <c r="C138" s="8">
        <v>20</v>
      </c>
      <c r="D138" s="27">
        <v>58440</v>
      </c>
      <c r="E138" s="8">
        <v>75</v>
      </c>
      <c r="F138" s="27" t="s">
        <v>19</v>
      </c>
      <c r="G138" s="27">
        <v>1.99</v>
      </c>
      <c r="H138" s="44">
        <v>8.8230000000000004</v>
      </c>
      <c r="I138" s="10">
        <v>97.563500000000005</v>
      </c>
      <c r="J138" s="43" t="s">
        <v>36</v>
      </c>
      <c r="K138" s="12">
        <f t="shared" si="2"/>
        <v>0.99224414404677153</v>
      </c>
    </row>
    <row r="139" spans="1:11" ht="18" thickBot="1" x14ac:dyDescent="0.3">
      <c r="A139" s="7" t="s">
        <v>8</v>
      </c>
      <c r="B139" s="45">
        <v>51.15</v>
      </c>
      <c r="C139" s="8">
        <v>20</v>
      </c>
      <c r="D139" s="27">
        <v>58440</v>
      </c>
      <c r="E139" s="8">
        <v>75</v>
      </c>
      <c r="F139" s="27" t="s">
        <v>19</v>
      </c>
      <c r="G139" s="27">
        <v>2.5579999999999998</v>
      </c>
      <c r="H139" s="44">
        <v>15.196</v>
      </c>
      <c r="I139" s="10">
        <v>99.35</v>
      </c>
      <c r="J139" s="43" t="s">
        <v>36</v>
      </c>
      <c r="K139" s="12">
        <f t="shared" si="2"/>
        <v>1.2094077680963757</v>
      </c>
    </row>
    <row r="140" spans="1:11" ht="18" thickBot="1" x14ac:dyDescent="0.3">
      <c r="A140" s="7" t="s">
        <v>8</v>
      </c>
      <c r="B140" s="45">
        <v>65.77</v>
      </c>
      <c r="C140" s="8">
        <v>20</v>
      </c>
      <c r="D140" s="27">
        <v>58440</v>
      </c>
      <c r="E140" s="8">
        <v>75</v>
      </c>
      <c r="F140" s="27" t="s">
        <v>19</v>
      </c>
      <c r="G140" s="27">
        <v>3.2879999999999998</v>
      </c>
      <c r="H140" s="44">
        <v>24.51</v>
      </c>
      <c r="I140" s="10">
        <v>96.912599999999998</v>
      </c>
      <c r="J140" s="43" t="s">
        <v>36</v>
      </c>
      <c r="K140" s="12">
        <f t="shared" si="2"/>
        <v>1.40671045860979</v>
      </c>
    </row>
    <row r="141" spans="1:11" ht="18" thickBot="1" x14ac:dyDescent="0.3">
      <c r="A141" s="7" t="s">
        <v>8</v>
      </c>
      <c r="B141" s="45">
        <v>0.57999999999999996</v>
      </c>
      <c r="C141" s="8">
        <v>50</v>
      </c>
      <c r="D141" s="27">
        <v>58440</v>
      </c>
      <c r="E141" s="8">
        <v>75</v>
      </c>
      <c r="F141" s="27" t="s">
        <v>19</v>
      </c>
      <c r="G141" s="27">
        <v>2.9000000000000001E-2</v>
      </c>
      <c r="H141" s="44">
        <v>0.49020000000000002</v>
      </c>
      <c r="I141" s="42">
        <v>100</v>
      </c>
      <c r="J141" s="43" t="s">
        <v>36</v>
      </c>
      <c r="K141" s="12">
        <f t="shared" si="2"/>
        <v>0.17324455906156672</v>
      </c>
    </row>
    <row r="142" spans="1:11" ht="18" thickBot="1" x14ac:dyDescent="0.3">
      <c r="A142" s="7" t="s">
        <v>8</v>
      </c>
      <c r="B142" s="45">
        <v>6.73</v>
      </c>
      <c r="C142" s="8">
        <v>50</v>
      </c>
      <c r="D142" s="27">
        <v>58440</v>
      </c>
      <c r="E142" s="8">
        <v>75</v>
      </c>
      <c r="F142" s="27" t="s">
        <v>19</v>
      </c>
      <c r="G142" s="27">
        <v>0.33700000000000002</v>
      </c>
      <c r="H142" s="44">
        <v>0.98</v>
      </c>
      <c r="I142" s="42">
        <v>100</v>
      </c>
      <c r="J142" s="43" t="s">
        <v>36</v>
      </c>
      <c r="K142" s="12">
        <f t="shared" si="2"/>
        <v>0.2966651902615311</v>
      </c>
    </row>
    <row r="143" spans="1:11" ht="18" thickBot="1" x14ac:dyDescent="0.3">
      <c r="A143" s="7" t="s">
        <v>8</v>
      </c>
      <c r="B143" s="45">
        <v>17.88</v>
      </c>
      <c r="C143" s="8">
        <v>50</v>
      </c>
      <c r="D143" s="27">
        <v>58440</v>
      </c>
      <c r="E143" s="8">
        <v>75</v>
      </c>
      <c r="F143" s="27" t="s">
        <v>19</v>
      </c>
      <c r="G143" s="27">
        <v>0.89400000000000002</v>
      </c>
      <c r="H143" s="44">
        <v>4.9020000000000001</v>
      </c>
      <c r="I143" s="42">
        <v>100</v>
      </c>
      <c r="J143" s="43" t="s">
        <v>36</v>
      </c>
      <c r="K143" s="12">
        <f t="shared" si="2"/>
        <v>0.77099920516394072</v>
      </c>
    </row>
    <row r="144" spans="1:11" ht="18" thickBot="1" x14ac:dyDescent="0.3">
      <c r="A144" s="7" t="s">
        <v>8</v>
      </c>
      <c r="B144" s="45">
        <v>29.04</v>
      </c>
      <c r="C144" s="8">
        <v>50</v>
      </c>
      <c r="D144" s="27">
        <v>58440</v>
      </c>
      <c r="E144" s="8">
        <v>75</v>
      </c>
      <c r="F144" s="27" t="s">
        <v>19</v>
      </c>
      <c r="G144" s="27">
        <v>1.452</v>
      </c>
      <c r="H144" s="44">
        <v>13.725</v>
      </c>
      <c r="I144" s="42">
        <v>97.143000000000001</v>
      </c>
      <c r="J144" s="43" t="s">
        <v>36</v>
      </c>
      <c r="K144" s="12">
        <f t="shared" si="2"/>
        <v>1.1680553034591392</v>
      </c>
    </row>
    <row r="145" spans="1:11" ht="18" thickBot="1" x14ac:dyDescent="0.3">
      <c r="A145" s="7" t="s">
        <v>8</v>
      </c>
      <c r="B145" s="45">
        <v>39.81</v>
      </c>
      <c r="C145" s="8">
        <v>50</v>
      </c>
      <c r="D145" s="27">
        <v>58440</v>
      </c>
      <c r="E145" s="8">
        <v>75</v>
      </c>
      <c r="F145" s="27" t="s">
        <v>19</v>
      </c>
      <c r="G145" s="27">
        <v>1.99</v>
      </c>
      <c r="H145" s="44">
        <v>25</v>
      </c>
      <c r="I145" s="42">
        <v>95.238</v>
      </c>
      <c r="J145" s="43" t="s">
        <v>36</v>
      </c>
      <c r="K145" s="12">
        <f t="shared" si="2"/>
        <v>1.414973347970818</v>
      </c>
    </row>
    <row r="146" spans="1:11" ht="18" thickBot="1" x14ac:dyDescent="0.3">
      <c r="A146" s="7" t="s">
        <v>8</v>
      </c>
      <c r="B146" s="45">
        <v>51.15</v>
      </c>
      <c r="C146" s="8">
        <v>50</v>
      </c>
      <c r="D146" s="27">
        <v>58440</v>
      </c>
      <c r="E146" s="8">
        <v>75</v>
      </c>
      <c r="F146" s="27" t="s">
        <v>19</v>
      </c>
      <c r="G146" s="27">
        <v>2.5579999999999998</v>
      </c>
      <c r="H146" s="44">
        <v>43.137</v>
      </c>
      <c r="I146" s="42">
        <v>80.951999999999998</v>
      </c>
      <c r="J146" s="43" t="s">
        <v>36</v>
      </c>
      <c r="K146" s="12">
        <f t="shared" si="2"/>
        <v>1.6448028107530643</v>
      </c>
    </row>
    <row r="147" spans="1:11" ht="18" thickBot="1" x14ac:dyDescent="0.3">
      <c r="A147" s="7" t="s">
        <v>8</v>
      </c>
      <c r="B147" s="45">
        <v>65.77</v>
      </c>
      <c r="C147" s="8">
        <v>50</v>
      </c>
      <c r="D147" s="27">
        <v>58440</v>
      </c>
      <c r="E147" s="8">
        <v>75</v>
      </c>
      <c r="F147" s="27" t="s">
        <v>19</v>
      </c>
      <c r="G147" s="27">
        <v>3.2879999999999998</v>
      </c>
      <c r="H147" s="44">
        <v>64.706000000000003</v>
      </c>
      <c r="I147" s="42">
        <v>68.570999999999998</v>
      </c>
      <c r="J147" s="43" t="s">
        <v>36</v>
      </c>
      <c r="K147" s="12">
        <f t="shared" si="2"/>
        <v>1.81760502934538</v>
      </c>
    </row>
    <row r="148" spans="1:11" ht="16.5" thickBot="1" x14ac:dyDescent="0.3">
      <c r="A148" s="7" t="s">
        <v>8</v>
      </c>
      <c r="B148" s="46">
        <v>1.41</v>
      </c>
      <c r="C148" s="40">
        <v>97.52</v>
      </c>
      <c r="D148" s="40">
        <v>72000</v>
      </c>
      <c r="E148" s="40">
        <v>27</v>
      </c>
      <c r="F148" s="40" t="s">
        <v>10</v>
      </c>
      <c r="G148" s="40">
        <v>0.15666667000000001</v>
      </c>
      <c r="H148" s="47">
        <v>2.3E-2</v>
      </c>
      <c r="I148" s="5">
        <v>100</v>
      </c>
      <c r="J148" s="48" t="s">
        <v>37</v>
      </c>
      <c r="K148" s="12">
        <f t="shared" si="2"/>
        <v>9.8756337121601191E-3</v>
      </c>
    </row>
    <row r="149" spans="1:11" ht="16.5" thickBot="1" x14ac:dyDescent="0.3">
      <c r="A149" s="7" t="s">
        <v>8</v>
      </c>
      <c r="B149" s="49">
        <v>1.41</v>
      </c>
      <c r="C149" s="8">
        <v>118.18</v>
      </c>
      <c r="D149" s="8">
        <v>72000</v>
      </c>
      <c r="E149" s="8">
        <v>27</v>
      </c>
      <c r="F149" s="8" t="s">
        <v>10</v>
      </c>
      <c r="G149" s="8">
        <v>0.15666667000000001</v>
      </c>
      <c r="H149" s="9">
        <v>2.8000000000000001E-2</v>
      </c>
      <c r="I149" s="5">
        <v>100</v>
      </c>
      <c r="J149" s="48" t="s">
        <v>37</v>
      </c>
      <c r="K149" s="12">
        <f t="shared" si="2"/>
        <v>1.1993114659256938E-2</v>
      </c>
    </row>
    <row r="150" spans="1:11" ht="16.5" thickBot="1" x14ac:dyDescent="0.3">
      <c r="A150" s="7" t="s">
        <v>8</v>
      </c>
      <c r="B150" s="49">
        <v>1.41</v>
      </c>
      <c r="C150" s="8">
        <v>147.93</v>
      </c>
      <c r="D150" s="8">
        <v>72000</v>
      </c>
      <c r="E150" s="8">
        <v>27</v>
      </c>
      <c r="F150" s="8" t="s">
        <v>10</v>
      </c>
      <c r="G150" s="8">
        <v>0.15666667000000001</v>
      </c>
      <c r="H150" s="9">
        <v>3.5000000000000003E-2</v>
      </c>
      <c r="I150" s="5">
        <v>100</v>
      </c>
      <c r="J150" s="48" t="s">
        <v>37</v>
      </c>
      <c r="K150" s="12">
        <f t="shared" si="2"/>
        <v>1.4940349792936524E-2</v>
      </c>
    </row>
    <row r="151" spans="1:11" ht="16.5" thickBot="1" x14ac:dyDescent="0.3">
      <c r="A151" s="7" t="s">
        <v>8</v>
      </c>
      <c r="B151" s="49">
        <v>1.41</v>
      </c>
      <c r="C151" s="8">
        <v>177.27</v>
      </c>
      <c r="D151" s="8">
        <v>72000</v>
      </c>
      <c r="E151" s="8">
        <v>27</v>
      </c>
      <c r="F151" s="8" t="s">
        <v>10</v>
      </c>
      <c r="G151" s="8">
        <v>0.15666667000000001</v>
      </c>
      <c r="H151" s="9">
        <v>4.1000000000000002E-2</v>
      </c>
      <c r="I151" s="5">
        <v>100</v>
      </c>
      <c r="J151" s="48" t="s">
        <v>37</v>
      </c>
      <c r="K151" s="12">
        <f t="shared" si="2"/>
        <v>1.7450729510536125E-2</v>
      </c>
    </row>
    <row r="152" spans="1:11" ht="16.5" thickBot="1" x14ac:dyDescent="0.3">
      <c r="A152" s="7" t="s">
        <v>8</v>
      </c>
      <c r="B152" s="49">
        <v>1.41</v>
      </c>
      <c r="C152" s="8">
        <v>221.48</v>
      </c>
      <c r="D152" s="8">
        <v>72000</v>
      </c>
      <c r="E152" s="8">
        <v>27</v>
      </c>
      <c r="F152" s="8" t="s">
        <v>10</v>
      </c>
      <c r="G152" s="8">
        <v>0.15666667000000001</v>
      </c>
      <c r="H152" s="9">
        <v>5.1999999999999998E-2</v>
      </c>
      <c r="I152" s="5">
        <v>100</v>
      </c>
      <c r="J152" s="48" t="s">
        <v>37</v>
      </c>
      <c r="K152" s="12">
        <f t="shared" si="2"/>
        <v>2.201573981772028E-2</v>
      </c>
    </row>
    <row r="153" spans="1:11" ht="16.5" thickBot="1" x14ac:dyDescent="0.3">
      <c r="A153" s="7" t="s">
        <v>8</v>
      </c>
      <c r="B153" s="49">
        <v>23.1</v>
      </c>
      <c r="C153" s="8">
        <v>97.52</v>
      </c>
      <c r="D153" s="8">
        <v>72000</v>
      </c>
      <c r="E153" s="8">
        <v>27</v>
      </c>
      <c r="F153" s="8" t="s">
        <v>10</v>
      </c>
      <c r="G153" s="8">
        <v>2.56666667</v>
      </c>
      <c r="H153" s="9">
        <v>26.887</v>
      </c>
      <c r="I153" s="5">
        <v>100</v>
      </c>
      <c r="J153" s="48" t="s">
        <v>37</v>
      </c>
      <c r="K153" s="12">
        <f t="shared" si="2"/>
        <v>1.445401796678264</v>
      </c>
    </row>
    <row r="154" spans="1:11" ht="16.5" thickBot="1" x14ac:dyDescent="0.3">
      <c r="A154" s="7" t="s">
        <v>8</v>
      </c>
      <c r="B154" s="49">
        <v>23.1</v>
      </c>
      <c r="C154" s="8">
        <v>118.18</v>
      </c>
      <c r="D154" s="8">
        <v>72000</v>
      </c>
      <c r="E154" s="8">
        <v>27</v>
      </c>
      <c r="F154" s="8" t="s">
        <v>10</v>
      </c>
      <c r="G154" s="8">
        <v>2.56666667</v>
      </c>
      <c r="H154" s="9">
        <v>32.582999999999998</v>
      </c>
      <c r="I154" s="5">
        <v>100</v>
      </c>
      <c r="J154" s="48" t="s">
        <v>37</v>
      </c>
      <c r="K154" s="12">
        <f t="shared" si="2"/>
        <v>1.5261194894568868</v>
      </c>
    </row>
    <row r="155" spans="1:11" ht="16.5" thickBot="1" x14ac:dyDescent="0.3">
      <c r="A155" s="7" t="s">
        <v>8</v>
      </c>
      <c r="B155" s="49">
        <v>23.1</v>
      </c>
      <c r="C155" s="8">
        <v>147.93</v>
      </c>
      <c r="D155" s="8">
        <v>72000</v>
      </c>
      <c r="E155" s="8">
        <v>27</v>
      </c>
      <c r="F155" s="8" t="s">
        <v>10</v>
      </c>
      <c r="G155" s="8">
        <v>2.56666667</v>
      </c>
      <c r="H155" s="9">
        <v>40.783999999999999</v>
      </c>
      <c r="I155" s="5">
        <v>100</v>
      </c>
      <c r="J155" s="48" t="s">
        <v>37</v>
      </c>
      <c r="K155" s="12">
        <f t="shared" si="2"/>
        <v>1.6210100128289373</v>
      </c>
    </row>
    <row r="156" spans="1:11" ht="16.5" thickBot="1" x14ac:dyDescent="0.3">
      <c r="A156" s="7" t="s">
        <v>8</v>
      </c>
      <c r="B156" s="49">
        <v>23.1</v>
      </c>
      <c r="C156" s="8">
        <v>177.27</v>
      </c>
      <c r="D156" s="8">
        <v>72000</v>
      </c>
      <c r="E156" s="8">
        <v>27</v>
      </c>
      <c r="F156" s="8" t="s">
        <v>10</v>
      </c>
      <c r="G156" s="8">
        <v>2.56666667</v>
      </c>
      <c r="H156" s="9">
        <v>48.872999999999998</v>
      </c>
      <c r="I156" s="5">
        <v>100</v>
      </c>
      <c r="J156" s="48" t="s">
        <v>37</v>
      </c>
      <c r="K156" s="12">
        <f t="shared" si="2"/>
        <v>1.6978654930280459</v>
      </c>
    </row>
    <row r="157" spans="1:11" ht="16.5" thickBot="1" x14ac:dyDescent="0.3">
      <c r="A157" s="7" t="s">
        <v>8</v>
      </c>
      <c r="B157" s="49">
        <v>23.1</v>
      </c>
      <c r="C157" s="8">
        <v>221.48</v>
      </c>
      <c r="D157" s="8">
        <v>72000</v>
      </c>
      <c r="E157" s="8">
        <v>27</v>
      </c>
      <c r="F157" s="8" t="s">
        <v>10</v>
      </c>
      <c r="G157" s="8">
        <v>2.56666667</v>
      </c>
      <c r="H157" s="9">
        <v>61.061999999999998</v>
      </c>
      <c r="I157" s="5">
        <v>100</v>
      </c>
      <c r="J157" s="48" t="s">
        <v>37</v>
      </c>
      <c r="K157" s="12">
        <f t="shared" si="2"/>
        <v>1.7928257669775725</v>
      </c>
    </row>
    <row r="158" spans="1:11" ht="16.5" thickBot="1" x14ac:dyDescent="0.3">
      <c r="A158" s="7" t="s">
        <v>8</v>
      </c>
      <c r="B158" s="49">
        <v>50.76</v>
      </c>
      <c r="C158" s="8">
        <v>97.52</v>
      </c>
      <c r="D158" s="8">
        <v>72000</v>
      </c>
      <c r="E158" s="8">
        <v>27</v>
      </c>
      <c r="F158" s="8" t="s">
        <v>10</v>
      </c>
      <c r="G158" s="8">
        <v>5.64</v>
      </c>
      <c r="H158" s="9">
        <v>121.455</v>
      </c>
      <c r="I158" s="5">
        <v>83.51</v>
      </c>
      <c r="J158" s="48" t="s">
        <v>37</v>
      </c>
      <c r="K158" s="12">
        <f t="shared" si="2"/>
        <v>2.0879765226422506</v>
      </c>
    </row>
    <row r="159" spans="1:11" ht="16.5" thickBot="1" x14ac:dyDescent="0.3">
      <c r="A159" s="7" t="s">
        <v>8</v>
      </c>
      <c r="B159" s="49">
        <v>50.76</v>
      </c>
      <c r="C159" s="8">
        <v>118.18</v>
      </c>
      <c r="D159" s="8">
        <v>72000</v>
      </c>
      <c r="E159" s="8">
        <v>27</v>
      </c>
      <c r="F159" s="8" t="s">
        <v>10</v>
      </c>
      <c r="G159" s="8">
        <v>5.64</v>
      </c>
      <c r="H159" s="9">
        <v>147.18899999999999</v>
      </c>
      <c r="I159" s="5">
        <v>57.92</v>
      </c>
      <c r="J159" s="48" t="s">
        <v>37</v>
      </c>
      <c r="K159" s="12">
        <f t="shared" si="2"/>
        <v>2.1708159673639393</v>
      </c>
    </row>
    <row r="160" spans="1:11" ht="16.5" thickBot="1" x14ac:dyDescent="0.3">
      <c r="A160" s="7" t="s">
        <v>8</v>
      </c>
      <c r="B160" s="49">
        <v>50.76</v>
      </c>
      <c r="C160" s="8">
        <v>147.93</v>
      </c>
      <c r="D160" s="8">
        <v>72000</v>
      </c>
      <c r="E160" s="8">
        <v>27</v>
      </c>
      <c r="F160" s="8" t="s">
        <v>10</v>
      </c>
      <c r="G160" s="8">
        <v>5.64</v>
      </c>
      <c r="H160" s="9">
        <v>184.238</v>
      </c>
      <c r="I160" s="5">
        <v>69.42</v>
      </c>
      <c r="J160" s="48" t="s">
        <v>37</v>
      </c>
      <c r="K160" s="12">
        <f t="shared" si="2"/>
        <v>2.2677300833040799</v>
      </c>
    </row>
    <row r="161" spans="1:11" ht="16.5" thickBot="1" x14ac:dyDescent="0.3">
      <c r="A161" s="7" t="s">
        <v>8</v>
      </c>
      <c r="B161" s="49">
        <v>50.76</v>
      </c>
      <c r="C161" s="8">
        <v>177.27</v>
      </c>
      <c r="D161" s="8">
        <v>72000</v>
      </c>
      <c r="E161" s="8">
        <v>27</v>
      </c>
      <c r="F161" s="8" t="s">
        <v>10</v>
      </c>
      <c r="G161" s="8">
        <v>5.64</v>
      </c>
      <c r="H161" s="9">
        <v>220.779</v>
      </c>
      <c r="I161" s="5">
        <v>57.73</v>
      </c>
      <c r="J161" s="48" t="s">
        <v>37</v>
      </c>
      <c r="K161" s="12">
        <f t="shared" si="2"/>
        <v>2.3459204209118956</v>
      </c>
    </row>
    <row r="162" spans="1:11" ht="16.5" thickBot="1" x14ac:dyDescent="0.3">
      <c r="A162" s="7" t="s">
        <v>8</v>
      </c>
      <c r="B162" s="49">
        <v>50.76</v>
      </c>
      <c r="C162" s="8">
        <v>221.48</v>
      </c>
      <c r="D162" s="8">
        <v>72000</v>
      </c>
      <c r="E162" s="8">
        <v>27</v>
      </c>
      <c r="F162" s="8" t="s">
        <v>10</v>
      </c>
      <c r="G162" s="8">
        <v>5.64</v>
      </c>
      <c r="H162" s="9">
        <v>275.839</v>
      </c>
      <c r="I162" s="5">
        <v>43.39</v>
      </c>
      <c r="J162" s="48" t="s">
        <v>37</v>
      </c>
      <c r="K162" s="12">
        <f t="shared" si="2"/>
        <v>2.442227271809629</v>
      </c>
    </row>
    <row r="163" spans="1:11" ht="16.5" thickBot="1" x14ac:dyDescent="0.3">
      <c r="A163" s="7" t="s">
        <v>8</v>
      </c>
      <c r="B163" s="49">
        <v>16.3</v>
      </c>
      <c r="C163" s="8">
        <v>97.52</v>
      </c>
      <c r="D163" s="8">
        <v>72000</v>
      </c>
      <c r="E163" s="8">
        <v>27</v>
      </c>
      <c r="F163" s="8" t="s">
        <v>9</v>
      </c>
      <c r="G163" s="8">
        <v>1.8111111099999999</v>
      </c>
      <c r="H163" s="9">
        <v>30.016999999999999</v>
      </c>
      <c r="I163" s="5">
        <v>100</v>
      </c>
      <c r="J163" s="48" t="s">
        <v>37</v>
      </c>
      <c r="K163" s="12">
        <f t="shared" si="2"/>
        <v>1.4915997900458688</v>
      </c>
    </row>
    <row r="164" spans="1:11" ht="16.5" thickBot="1" x14ac:dyDescent="0.3">
      <c r="A164" s="7" t="s">
        <v>8</v>
      </c>
      <c r="B164" s="49">
        <v>16.3</v>
      </c>
      <c r="C164" s="8">
        <v>118.18</v>
      </c>
      <c r="D164" s="8">
        <v>72000</v>
      </c>
      <c r="E164" s="8">
        <v>27</v>
      </c>
      <c r="F164" s="8" t="s">
        <v>9</v>
      </c>
      <c r="G164" s="8">
        <v>1.8111111099999999</v>
      </c>
      <c r="H164" s="9">
        <v>36.375999999999998</v>
      </c>
      <c r="I164" s="5">
        <v>100</v>
      </c>
      <c r="J164" s="48" t="s">
        <v>37</v>
      </c>
      <c r="K164" s="12">
        <f t="shared" si="2"/>
        <v>1.5725928210962867</v>
      </c>
    </row>
    <row r="165" spans="1:11" ht="16.5" thickBot="1" x14ac:dyDescent="0.3">
      <c r="A165" s="7" t="s">
        <v>8</v>
      </c>
      <c r="B165" s="49">
        <v>16.3</v>
      </c>
      <c r="C165" s="8">
        <v>147.93</v>
      </c>
      <c r="D165" s="8">
        <v>72000</v>
      </c>
      <c r="E165" s="8">
        <v>27</v>
      </c>
      <c r="F165" s="8" t="s">
        <v>9</v>
      </c>
      <c r="G165" s="8">
        <v>1.8111111099999999</v>
      </c>
      <c r="H165" s="9">
        <v>45.533999999999999</v>
      </c>
      <c r="I165" s="5">
        <v>100</v>
      </c>
      <c r="J165" s="48" t="s">
        <v>37</v>
      </c>
      <c r="K165" s="12">
        <f t="shared" si="2"/>
        <v>1.6677703855068915</v>
      </c>
    </row>
    <row r="166" spans="1:11" ht="16.5" thickBot="1" x14ac:dyDescent="0.3">
      <c r="A166" s="7" t="s">
        <v>8</v>
      </c>
      <c r="B166" s="49">
        <v>16.3</v>
      </c>
      <c r="C166" s="8">
        <v>177.27</v>
      </c>
      <c r="D166" s="8">
        <v>72000</v>
      </c>
      <c r="E166" s="8">
        <v>27</v>
      </c>
      <c r="F166" s="8" t="s">
        <v>9</v>
      </c>
      <c r="G166" s="8">
        <v>1.8111111099999999</v>
      </c>
      <c r="H166" s="9">
        <v>54.564</v>
      </c>
      <c r="I166" s="5">
        <v>100</v>
      </c>
      <c r="J166" s="48" t="s">
        <v>37</v>
      </c>
      <c r="K166" s="12">
        <f t="shared" si="2"/>
        <v>1.7447935026414818</v>
      </c>
    </row>
    <row r="167" spans="1:11" ht="16.5" thickBot="1" x14ac:dyDescent="0.3">
      <c r="A167" s="7" t="s">
        <v>8</v>
      </c>
      <c r="B167" s="49">
        <v>16.3</v>
      </c>
      <c r="C167" s="8">
        <v>221.48</v>
      </c>
      <c r="D167" s="8">
        <v>72000</v>
      </c>
      <c r="E167" s="8">
        <v>27</v>
      </c>
      <c r="F167" s="8" t="s">
        <v>9</v>
      </c>
      <c r="G167" s="8">
        <v>1.8111111099999999</v>
      </c>
      <c r="H167" s="9">
        <v>68.173000000000002</v>
      </c>
      <c r="I167" s="5">
        <v>100</v>
      </c>
      <c r="J167" s="48" t="s">
        <v>37</v>
      </c>
      <c r="K167" s="12">
        <f t="shared" si="2"/>
        <v>1.8399366112315592</v>
      </c>
    </row>
    <row r="168" spans="1:11" ht="16.5" thickBot="1" x14ac:dyDescent="0.3">
      <c r="A168" s="7" t="s">
        <v>8</v>
      </c>
      <c r="B168" s="49">
        <v>27.71</v>
      </c>
      <c r="C168" s="8">
        <v>97.52</v>
      </c>
      <c r="D168" s="8">
        <v>72000</v>
      </c>
      <c r="E168" s="8">
        <v>27</v>
      </c>
      <c r="F168" s="8" t="s">
        <v>9</v>
      </c>
      <c r="G168" s="8">
        <v>3.07888889</v>
      </c>
      <c r="H168" s="9">
        <v>71.680999999999997</v>
      </c>
      <c r="I168" s="5">
        <v>96.69</v>
      </c>
      <c r="J168" s="48" t="s">
        <v>37</v>
      </c>
      <c r="K168" s="12">
        <f t="shared" si="2"/>
        <v>1.861420894028047</v>
      </c>
    </row>
    <row r="169" spans="1:11" ht="16.5" thickBot="1" x14ac:dyDescent="0.3">
      <c r="A169" s="7" t="s">
        <v>8</v>
      </c>
      <c r="B169" s="49">
        <v>27.71</v>
      </c>
      <c r="C169" s="8">
        <v>118.18</v>
      </c>
      <c r="D169" s="8">
        <v>72000</v>
      </c>
      <c r="E169" s="8">
        <v>27</v>
      </c>
      <c r="F169" s="8" t="s">
        <v>9</v>
      </c>
      <c r="G169" s="8">
        <v>3.07888889</v>
      </c>
      <c r="H169" s="9">
        <v>86.867999999999995</v>
      </c>
      <c r="I169" s="5">
        <v>96.78</v>
      </c>
      <c r="J169" s="48" t="s">
        <v>37</v>
      </c>
      <c r="K169" s="12">
        <f t="shared" si="2"/>
        <v>1.94383074135689</v>
      </c>
    </row>
    <row r="170" spans="1:11" ht="16.5" thickBot="1" x14ac:dyDescent="0.3">
      <c r="A170" s="7" t="s">
        <v>8</v>
      </c>
      <c r="B170" s="49">
        <v>27.71</v>
      </c>
      <c r="C170" s="8">
        <v>147.93</v>
      </c>
      <c r="D170" s="8">
        <v>72000</v>
      </c>
      <c r="E170" s="8">
        <v>27</v>
      </c>
      <c r="F170" s="8" t="s">
        <v>9</v>
      </c>
      <c r="G170" s="8">
        <v>3.07888889</v>
      </c>
      <c r="H170" s="9">
        <v>108.736</v>
      </c>
      <c r="I170" s="5">
        <v>94.42</v>
      </c>
      <c r="J170" s="48" t="s">
        <v>37</v>
      </c>
      <c r="K170" s="12">
        <f t="shared" si="2"/>
        <v>2.0403491256287114</v>
      </c>
    </row>
    <row r="171" spans="1:11" ht="16.5" thickBot="1" x14ac:dyDescent="0.3">
      <c r="A171" s="7" t="s">
        <v>8</v>
      </c>
      <c r="B171" s="49">
        <v>27.71</v>
      </c>
      <c r="C171" s="8">
        <v>177.27</v>
      </c>
      <c r="D171" s="8">
        <v>72000</v>
      </c>
      <c r="E171" s="8">
        <v>27</v>
      </c>
      <c r="F171" s="8" t="s">
        <v>9</v>
      </c>
      <c r="G171" s="8">
        <v>3.07888889</v>
      </c>
      <c r="H171" s="9">
        <v>130.30099999999999</v>
      </c>
      <c r="I171" s="5">
        <v>82.96</v>
      </c>
      <c r="J171" s="48" t="s">
        <v>37</v>
      </c>
      <c r="K171" s="12">
        <f t="shared" si="2"/>
        <v>2.1182680337271647</v>
      </c>
    </row>
    <row r="172" spans="1:11" ht="16.5" thickBot="1" x14ac:dyDescent="0.3">
      <c r="A172" s="7" t="s">
        <v>8</v>
      </c>
      <c r="B172" s="49">
        <v>27.71</v>
      </c>
      <c r="C172" s="8">
        <v>221.48</v>
      </c>
      <c r="D172" s="8">
        <v>72000</v>
      </c>
      <c r="E172" s="8">
        <v>27</v>
      </c>
      <c r="F172" s="8" t="s">
        <v>9</v>
      </c>
      <c r="G172" s="8">
        <v>3.07888889</v>
      </c>
      <c r="H172" s="9">
        <v>162.798</v>
      </c>
      <c r="I172" s="5">
        <v>89.98</v>
      </c>
      <c r="J172" s="48" t="s">
        <v>37</v>
      </c>
      <c r="K172" s="12">
        <f t="shared" si="2"/>
        <v>2.2143085946510994</v>
      </c>
    </row>
    <row r="173" spans="1:11" ht="16.5" thickBot="1" x14ac:dyDescent="0.3">
      <c r="A173" s="7" t="s">
        <v>8</v>
      </c>
      <c r="B173" s="49">
        <v>61.73</v>
      </c>
      <c r="C173" s="8">
        <v>97.52</v>
      </c>
      <c r="D173" s="8">
        <v>72000</v>
      </c>
      <c r="E173" s="8">
        <v>27</v>
      </c>
      <c r="F173" s="8" t="s">
        <v>9</v>
      </c>
      <c r="G173" s="8">
        <v>6.8588888900000002</v>
      </c>
      <c r="H173" s="9">
        <v>301.39400000000001</v>
      </c>
      <c r="I173" s="5">
        <v>51.92</v>
      </c>
      <c r="J173" s="48" t="s">
        <v>37</v>
      </c>
      <c r="K173" s="12">
        <f t="shared" si="2"/>
        <v>2.4805731697896762</v>
      </c>
    </row>
    <row r="174" spans="1:11" ht="16.5" thickBot="1" x14ac:dyDescent="0.3">
      <c r="A174" s="7" t="s">
        <v>8</v>
      </c>
      <c r="B174" s="49">
        <v>61.73</v>
      </c>
      <c r="C174" s="8">
        <v>118.18</v>
      </c>
      <c r="D174" s="8">
        <v>72000</v>
      </c>
      <c r="E174" s="8">
        <v>27</v>
      </c>
      <c r="F174" s="8" t="s">
        <v>9</v>
      </c>
      <c r="G174" s="8">
        <v>6.8588888900000002</v>
      </c>
      <c r="H174" s="9">
        <v>365.24700000000001</v>
      </c>
      <c r="I174" s="5">
        <v>47.47</v>
      </c>
      <c r="J174" s="48" t="s">
        <v>37</v>
      </c>
      <c r="K174" s="12">
        <f t="shared" si="2"/>
        <v>2.5637740759866525</v>
      </c>
    </row>
    <row r="175" spans="1:11" ht="16.5" thickBot="1" x14ac:dyDescent="0.3">
      <c r="A175" s="7" t="s">
        <v>8</v>
      </c>
      <c r="B175" s="49">
        <v>61.73</v>
      </c>
      <c r="C175" s="8">
        <v>147.93</v>
      </c>
      <c r="D175" s="8">
        <v>72000</v>
      </c>
      <c r="E175" s="8">
        <v>27</v>
      </c>
      <c r="F175" s="8" t="s">
        <v>9</v>
      </c>
      <c r="G175" s="8">
        <v>6.8588888900000002</v>
      </c>
      <c r="H175" s="9">
        <v>457.19</v>
      </c>
      <c r="I175" s="5">
        <v>45.55</v>
      </c>
      <c r="J175" s="48" t="s">
        <v>37</v>
      </c>
      <c r="K175" s="12">
        <f t="shared" si="2"/>
        <v>2.6610456064766632</v>
      </c>
    </row>
    <row r="176" spans="1:11" ht="16.5" thickBot="1" x14ac:dyDescent="0.3">
      <c r="A176" s="7" t="s">
        <v>8</v>
      </c>
      <c r="B176" s="49">
        <v>61.73</v>
      </c>
      <c r="C176" s="8">
        <v>177.27</v>
      </c>
      <c r="D176" s="8">
        <v>72000</v>
      </c>
      <c r="E176" s="8">
        <v>27</v>
      </c>
      <c r="F176" s="8" t="s">
        <v>9</v>
      </c>
      <c r="G176" s="8">
        <v>6.8588888900000002</v>
      </c>
      <c r="H176" s="9">
        <v>547.86800000000005</v>
      </c>
      <c r="I176" s="5">
        <v>31.14</v>
      </c>
      <c r="J176" s="48" t="s">
        <v>37</v>
      </c>
      <c r="K176" s="12">
        <f t="shared" si="2"/>
        <v>2.7394679113636236</v>
      </c>
    </row>
    <row r="177" spans="1:11" ht="16.5" thickBot="1" x14ac:dyDescent="0.3">
      <c r="A177" s="7" t="s">
        <v>8</v>
      </c>
      <c r="B177" s="49">
        <v>61.73</v>
      </c>
      <c r="C177" s="8">
        <v>221.48</v>
      </c>
      <c r="D177" s="8">
        <v>72000</v>
      </c>
      <c r="E177" s="8">
        <v>27</v>
      </c>
      <c r="F177" s="8" t="s">
        <v>9</v>
      </c>
      <c r="G177" s="8">
        <v>6.8588888900000002</v>
      </c>
      <c r="H177" s="9">
        <v>684.50800000000004</v>
      </c>
      <c r="I177" s="5">
        <v>33.840000000000003</v>
      </c>
      <c r="J177" s="48" t="s">
        <v>37</v>
      </c>
      <c r="K177" s="12">
        <f t="shared" si="2"/>
        <v>2.8360125274487729</v>
      </c>
    </row>
    <row r="178" spans="1:11" ht="16.5" thickBot="1" x14ac:dyDescent="0.3">
      <c r="A178" s="7" t="s">
        <v>8</v>
      </c>
      <c r="B178" s="49">
        <v>7.0650000000000004</v>
      </c>
      <c r="C178" s="8">
        <v>25</v>
      </c>
      <c r="D178" s="8">
        <v>35064</v>
      </c>
      <c r="E178" s="8">
        <v>27</v>
      </c>
      <c r="F178" s="8" t="s">
        <v>20</v>
      </c>
      <c r="G178" s="8">
        <v>0.78500000000000003</v>
      </c>
      <c r="H178" s="9">
        <v>3.4929999999999999</v>
      </c>
      <c r="I178" s="5">
        <v>100</v>
      </c>
      <c r="J178" s="48" t="s">
        <v>37</v>
      </c>
      <c r="K178" s="12">
        <f t="shared" si="2"/>
        <v>0.65253641859302547</v>
      </c>
    </row>
    <row r="179" spans="1:11" ht="16.5" thickBot="1" x14ac:dyDescent="0.3">
      <c r="A179" s="7" t="s">
        <v>8</v>
      </c>
      <c r="B179" s="49">
        <v>7.0650000000000004</v>
      </c>
      <c r="C179" s="8">
        <v>50</v>
      </c>
      <c r="D179" s="8">
        <v>35064</v>
      </c>
      <c r="E179" s="8">
        <v>27</v>
      </c>
      <c r="F179" s="8" t="s">
        <v>20</v>
      </c>
      <c r="G179" s="8">
        <v>0.78500000000000003</v>
      </c>
      <c r="H179" s="9">
        <v>5.0439999999999996</v>
      </c>
      <c r="I179" s="5">
        <v>100</v>
      </c>
      <c r="J179" s="48" t="s">
        <v>37</v>
      </c>
      <c r="K179" s="12">
        <f t="shared" si="2"/>
        <v>0.78132445566698772</v>
      </c>
    </row>
    <row r="180" spans="1:11" ht="16.5" thickBot="1" x14ac:dyDescent="0.3">
      <c r="A180" s="7" t="s">
        <v>8</v>
      </c>
      <c r="B180" s="49">
        <v>7.0650000000000004</v>
      </c>
      <c r="C180" s="8">
        <v>75</v>
      </c>
      <c r="D180" s="8">
        <v>35064</v>
      </c>
      <c r="E180" s="8">
        <v>27</v>
      </c>
      <c r="F180" s="8" t="s">
        <v>20</v>
      </c>
      <c r="G180" s="8">
        <v>0.78500000000000003</v>
      </c>
      <c r="H180" s="9">
        <v>23.658999999999999</v>
      </c>
      <c r="I180" s="5">
        <v>100</v>
      </c>
      <c r="J180" s="48" t="s">
        <v>37</v>
      </c>
      <c r="K180" s="12">
        <f t="shared" si="2"/>
        <v>1.3919754606097621</v>
      </c>
    </row>
    <row r="181" spans="1:11" ht="16.5" thickBot="1" x14ac:dyDescent="0.3">
      <c r="A181" s="7" t="s">
        <v>8</v>
      </c>
      <c r="B181" s="49">
        <v>7.0650000000000004</v>
      </c>
      <c r="C181" s="8">
        <v>100</v>
      </c>
      <c r="D181" s="8">
        <v>35064</v>
      </c>
      <c r="E181" s="8">
        <v>27</v>
      </c>
      <c r="F181" s="8" t="s">
        <v>20</v>
      </c>
      <c r="G181" s="8">
        <v>0.78500000000000003</v>
      </c>
      <c r="H181" s="9">
        <v>38.621000000000002</v>
      </c>
      <c r="I181" s="5">
        <v>100</v>
      </c>
      <c r="J181" s="48" t="s">
        <v>37</v>
      </c>
      <c r="K181" s="12">
        <f t="shared" si="2"/>
        <v>1.5979254325604597</v>
      </c>
    </row>
    <row r="182" spans="1:11" ht="16.5" thickBot="1" x14ac:dyDescent="0.3">
      <c r="A182" s="7" t="s">
        <v>8</v>
      </c>
      <c r="B182" s="49">
        <v>7.0650000000000004</v>
      </c>
      <c r="C182" s="8">
        <v>125</v>
      </c>
      <c r="D182" s="8">
        <v>35064</v>
      </c>
      <c r="E182" s="8">
        <v>27</v>
      </c>
      <c r="F182" s="8" t="s">
        <v>20</v>
      </c>
      <c r="G182" s="8">
        <v>0.78500000000000003</v>
      </c>
      <c r="H182" s="9">
        <v>41.774000000000001</v>
      </c>
      <c r="I182" s="5">
        <v>100</v>
      </c>
      <c r="J182" s="48" t="s">
        <v>37</v>
      </c>
      <c r="K182" s="12">
        <f t="shared" si="2"/>
        <v>1.6311798650966334</v>
      </c>
    </row>
    <row r="183" spans="1:11" ht="16.5" thickBot="1" x14ac:dyDescent="0.3">
      <c r="A183" s="7" t="s">
        <v>8</v>
      </c>
      <c r="B183" s="49">
        <v>7.0650000000000004</v>
      </c>
      <c r="C183" s="8">
        <v>150</v>
      </c>
      <c r="D183" s="8">
        <v>35064</v>
      </c>
      <c r="E183" s="8">
        <v>27</v>
      </c>
      <c r="F183" s="8" t="s">
        <v>20</v>
      </c>
      <c r="G183" s="8">
        <v>0.78500000000000003</v>
      </c>
      <c r="H183" s="9">
        <v>44.206000000000003</v>
      </c>
      <c r="I183" s="5">
        <v>98</v>
      </c>
      <c r="J183" s="48" t="s">
        <v>37</v>
      </c>
      <c r="K183" s="12">
        <f t="shared" si="2"/>
        <v>1.6551960806953996</v>
      </c>
    </row>
    <row r="184" spans="1:11" ht="16.5" thickBot="1" x14ac:dyDescent="0.3">
      <c r="A184" s="7" t="s">
        <v>8</v>
      </c>
      <c r="B184" s="49">
        <v>15.89625</v>
      </c>
      <c r="C184" s="8">
        <v>25</v>
      </c>
      <c r="D184" s="8">
        <v>35064</v>
      </c>
      <c r="E184" s="8">
        <v>27</v>
      </c>
      <c r="F184" s="8" t="s">
        <v>20</v>
      </c>
      <c r="G184" s="8">
        <v>1.7662500000000001</v>
      </c>
      <c r="H184" s="9">
        <v>11.359</v>
      </c>
      <c r="I184" s="5">
        <v>98</v>
      </c>
      <c r="J184" s="48" t="s">
        <v>37</v>
      </c>
      <c r="K184" s="12">
        <f t="shared" si="2"/>
        <v>1.0919833322373118</v>
      </c>
    </row>
    <row r="185" spans="1:11" ht="16.5" thickBot="1" x14ac:dyDescent="0.3">
      <c r="A185" s="7" t="s">
        <v>8</v>
      </c>
      <c r="B185" s="49">
        <v>15.89625</v>
      </c>
      <c r="C185" s="8">
        <v>50</v>
      </c>
      <c r="D185" s="8">
        <v>35064</v>
      </c>
      <c r="E185" s="8">
        <v>27</v>
      </c>
      <c r="F185" s="8" t="s">
        <v>20</v>
      </c>
      <c r="G185" s="8">
        <v>1.7662500000000001</v>
      </c>
      <c r="H185" s="9">
        <v>20.646999999999998</v>
      </c>
      <c r="I185" s="5">
        <v>97</v>
      </c>
      <c r="J185" s="48" t="s">
        <v>37</v>
      </c>
      <c r="K185" s="12">
        <f t="shared" si="2"/>
        <v>1.3353977171455915</v>
      </c>
    </row>
    <row r="186" spans="1:11" ht="16.5" thickBot="1" x14ac:dyDescent="0.3">
      <c r="A186" s="7" t="s">
        <v>8</v>
      </c>
      <c r="B186" s="49">
        <v>15.89625</v>
      </c>
      <c r="C186" s="8">
        <v>75</v>
      </c>
      <c r="D186" s="8">
        <v>35064</v>
      </c>
      <c r="E186" s="8">
        <v>27</v>
      </c>
      <c r="F186" s="8" t="s">
        <v>20</v>
      </c>
      <c r="G186" s="8">
        <v>1.7662500000000001</v>
      </c>
      <c r="H186" s="9">
        <v>38.381</v>
      </c>
      <c r="I186" s="5">
        <v>95</v>
      </c>
      <c r="J186" s="48" t="s">
        <v>37</v>
      </c>
      <c r="K186" s="12">
        <f t="shared" si="2"/>
        <v>1.5952867399627861</v>
      </c>
    </row>
    <row r="187" spans="1:11" ht="16.5" thickBot="1" x14ac:dyDescent="0.3">
      <c r="A187" s="7" t="s">
        <v>8</v>
      </c>
      <c r="B187" s="49">
        <v>15.89625</v>
      </c>
      <c r="C187" s="8">
        <v>100</v>
      </c>
      <c r="D187" s="8">
        <v>35064</v>
      </c>
      <c r="E187" s="8">
        <v>27</v>
      </c>
      <c r="F187" s="8" t="s">
        <v>20</v>
      </c>
      <c r="G187" s="8">
        <v>1.7662500000000001</v>
      </c>
      <c r="H187" s="9">
        <v>53.923999999999999</v>
      </c>
      <c r="I187" s="5">
        <v>93</v>
      </c>
      <c r="J187" s="48" t="s">
        <v>37</v>
      </c>
      <c r="K187" s="12">
        <f t="shared" si="2"/>
        <v>1.7397621584749243</v>
      </c>
    </row>
    <row r="188" spans="1:11" ht="16.5" thickBot="1" x14ac:dyDescent="0.3">
      <c r="A188" s="7" t="s">
        <v>8</v>
      </c>
      <c r="B188" s="49">
        <v>15.89625</v>
      </c>
      <c r="C188" s="8">
        <v>125</v>
      </c>
      <c r="D188" s="8">
        <v>35064</v>
      </c>
      <c r="E188" s="8">
        <v>27</v>
      </c>
      <c r="F188" s="8" t="s">
        <v>20</v>
      </c>
      <c r="G188" s="8">
        <v>1.7662500000000001</v>
      </c>
      <c r="H188" s="9">
        <v>59.408000000000001</v>
      </c>
      <c r="I188" s="5">
        <v>91</v>
      </c>
      <c r="J188" s="48" t="s">
        <v>37</v>
      </c>
      <c r="K188" s="12">
        <f t="shared" si="2"/>
        <v>1.7810944572599687</v>
      </c>
    </row>
    <row r="189" spans="1:11" ht="16.5" thickBot="1" x14ac:dyDescent="0.3">
      <c r="A189" s="7" t="s">
        <v>8</v>
      </c>
      <c r="B189" s="49">
        <v>15.89625</v>
      </c>
      <c r="C189" s="8">
        <v>150</v>
      </c>
      <c r="D189" s="8">
        <v>35064</v>
      </c>
      <c r="E189" s="8">
        <v>27</v>
      </c>
      <c r="F189" s="8" t="s">
        <v>20</v>
      </c>
      <c r="G189" s="8">
        <v>1.7662500000000001</v>
      </c>
      <c r="H189" s="9">
        <v>64.031999999999996</v>
      </c>
      <c r="I189" s="5">
        <v>90</v>
      </c>
      <c r="J189" s="48" t="s">
        <v>37</v>
      </c>
      <c r="K189" s="12">
        <f t="shared" si="2"/>
        <v>1.8131271105449944</v>
      </c>
    </row>
    <row r="190" spans="1:11" ht="16.5" thickBot="1" x14ac:dyDescent="0.3">
      <c r="A190" s="7" t="s">
        <v>8</v>
      </c>
      <c r="B190" s="49">
        <v>52.7834</v>
      </c>
      <c r="C190" s="8">
        <v>10</v>
      </c>
      <c r="D190" s="8">
        <v>33000</v>
      </c>
      <c r="E190" s="8">
        <v>27</v>
      </c>
      <c r="F190" s="8" t="s">
        <v>10</v>
      </c>
      <c r="G190" s="8">
        <v>6.0042543500000001</v>
      </c>
      <c r="H190" s="9">
        <v>7.8849999999999998</v>
      </c>
      <c r="I190" s="5">
        <v>92.5</v>
      </c>
      <c r="J190" s="48" t="s">
        <v>37</v>
      </c>
      <c r="K190" s="12">
        <f t="shared" si="2"/>
        <v>0.94865743214132037</v>
      </c>
    </row>
    <row r="191" spans="1:11" ht="16.5" thickBot="1" x14ac:dyDescent="0.3">
      <c r="A191" s="7" t="s">
        <v>8</v>
      </c>
      <c r="B191" s="49">
        <v>52.7834</v>
      </c>
      <c r="C191" s="8">
        <v>50</v>
      </c>
      <c r="D191" s="8">
        <v>33000</v>
      </c>
      <c r="E191" s="8">
        <v>27</v>
      </c>
      <c r="F191" s="8" t="s">
        <v>10</v>
      </c>
      <c r="G191" s="8">
        <v>6.0042543500000001</v>
      </c>
      <c r="H191" s="9">
        <v>31.556999999999999</v>
      </c>
      <c r="I191" s="5">
        <v>92.5</v>
      </c>
      <c r="J191" s="48" t="s">
        <v>37</v>
      </c>
      <c r="K191" s="12">
        <f t="shared" si="2"/>
        <v>1.5126443795257734</v>
      </c>
    </row>
    <row r="192" spans="1:11" ht="16.5" thickBot="1" x14ac:dyDescent="0.3">
      <c r="A192" s="7" t="s">
        <v>8</v>
      </c>
      <c r="B192" s="49">
        <v>52.7834</v>
      </c>
      <c r="C192" s="8">
        <v>100</v>
      </c>
      <c r="D192" s="8">
        <v>33000</v>
      </c>
      <c r="E192" s="8">
        <v>27</v>
      </c>
      <c r="F192" s="8" t="s">
        <v>10</v>
      </c>
      <c r="G192" s="8">
        <v>6.0042543500000001</v>
      </c>
      <c r="H192" s="9">
        <v>55.506</v>
      </c>
      <c r="I192" s="5">
        <v>92.5</v>
      </c>
      <c r="J192" s="48" t="s">
        <v>37</v>
      </c>
      <c r="K192" s="12">
        <f t="shared" si="2"/>
        <v>1.7520945651387643</v>
      </c>
    </row>
    <row r="193" spans="1:11" ht="16.5" thickBot="1" x14ac:dyDescent="0.3">
      <c r="A193" s="7" t="s">
        <v>8</v>
      </c>
      <c r="B193" s="49">
        <v>52.7834</v>
      </c>
      <c r="C193" s="8">
        <v>150</v>
      </c>
      <c r="D193" s="8">
        <v>33000</v>
      </c>
      <c r="E193" s="8">
        <v>27</v>
      </c>
      <c r="F193" s="8" t="s">
        <v>10</v>
      </c>
      <c r="G193" s="8">
        <v>6.0042543500000001</v>
      </c>
      <c r="H193" s="9">
        <v>96.042000000000002</v>
      </c>
      <c r="I193" s="5">
        <v>92.5</v>
      </c>
      <c r="J193" s="48" t="s">
        <v>37</v>
      </c>
      <c r="K193" s="12">
        <f t="shared" si="2"/>
        <v>1.9869597386006137</v>
      </c>
    </row>
    <row r="194" spans="1:11" ht="16.5" thickBot="1" x14ac:dyDescent="0.3">
      <c r="A194" s="7" t="s">
        <v>8</v>
      </c>
      <c r="B194" s="49">
        <v>52.7834</v>
      </c>
      <c r="C194" s="8">
        <v>200</v>
      </c>
      <c r="D194" s="8">
        <v>33000</v>
      </c>
      <c r="E194" s="8">
        <v>27</v>
      </c>
      <c r="F194" s="8" t="s">
        <v>10</v>
      </c>
      <c r="G194" s="8">
        <v>6.0042543500000001</v>
      </c>
      <c r="H194" s="9">
        <v>131.95699999999999</v>
      </c>
      <c r="I194" s="5">
        <v>92.5</v>
      </c>
      <c r="J194" s="48" t="s">
        <v>37</v>
      </c>
      <c r="K194" s="12">
        <f t="shared" si="2"/>
        <v>2.1237112072662652</v>
      </c>
    </row>
    <row r="195" spans="1:11" ht="16.5" thickBot="1" x14ac:dyDescent="0.3">
      <c r="A195" s="7" t="s">
        <v>8</v>
      </c>
      <c r="B195" s="49">
        <v>34.194600000000001</v>
      </c>
      <c r="C195" s="8">
        <v>10</v>
      </c>
      <c r="D195" s="8">
        <v>33000</v>
      </c>
      <c r="E195" s="8">
        <v>27</v>
      </c>
      <c r="F195" s="8" t="s">
        <v>9</v>
      </c>
      <c r="G195" s="8">
        <v>3.88972813</v>
      </c>
      <c r="H195" s="9">
        <v>5.4359999999999999</v>
      </c>
      <c r="I195" s="5">
        <v>93</v>
      </c>
      <c r="J195" s="48" t="s">
        <v>37</v>
      </c>
      <c r="K195" s="12">
        <f t="shared" ref="K195:K258" si="3">LOG(H195+1)</f>
        <v>0.8086160354269919</v>
      </c>
    </row>
    <row r="196" spans="1:11" ht="16.5" thickBot="1" x14ac:dyDescent="0.3">
      <c r="A196" s="7" t="s">
        <v>8</v>
      </c>
      <c r="B196" s="49">
        <v>34.194600000000001</v>
      </c>
      <c r="C196" s="8">
        <v>50</v>
      </c>
      <c r="D196" s="8">
        <v>33000</v>
      </c>
      <c r="E196" s="8">
        <v>27</v>
      </c>
      <c r="F196" s="8" t="s">
        <v>9</v>
      </c>
      <c r="G196" s="8">
        <v>3.88972813</v>
      </c>
      <c r="H196" s="9">
        <v>19.59</v>
      </c>
      <c r="I196" s="5">
        <v>93</v>
      </c>
      <c r="J196" s="48" t="s">
        <v>37</v>
      </c>
      <c r="K196" s="12">
        <f t="shared" si="3"/>
        <v>1.3136563466180313</v>
      </c>
    </row>
    <row r="197" spans="1:11" ht="16.5" thickBot="1" x14ac:dyDescent="0.3">
      <c r="A197" s="7" t="s">
        <v>8</v>
      </c>
      <c r="B197" s="49">
        <v>34.194600000000001</v>
      </c>
      <c r="C197" s="8">
        <v>100</v>
      </c>
      <c r="D197" s="8">
        <v>33000</v>
      </c>
      <c r="E197" s="8">
        <v>27</v>
      </c>
      <c r="F197" s="8" t="s">
        <v>9</v>
      </c>
      <c r="G197" s="8">
        <v>3.88972813</v>
      </c>
      <c r="H197" s="9">
        <v>46.527000000000001</v>
      </c>
      <c r="I197" s="5">
        <v>93</v>
      </c>
      <c r="J197" s="48" t="s">
        <v>37</v>
      </c>
      <c r="K197" s="12">
        <f t="shared" si="3"/>
        <v>1.6769404016171832</v>
      </c>
    </row>
    <row r="198" spans="1:11" ht="16.5" thickBot="1" x14ac:dyDescent="0.3">
      <c r="A198" s="7" t="s">
        <v>8</v>
      </c>
      <c r="B198" s="49">
        <v>34.194600000000001</v>
      </c>
      <c r="C198" s="8">
        <v>150</v>
      </c>
      <c r="D198" s="8">
        <v>33000</v>
      </c>
      <c r="E198" s="8">
        <v>27</v>
      </c>
      <c r="F198" s="8" t="s">
        <v>9</v>
      </c>
      <c r="G198" s="8">
        <v>3.88972813</v>
      </c>
      <c r="H198" s="9">
        <v>72.647999999999996</v>
      </c>
      <c r="I198" s="5">
        <v>93</v>
      </c>
      <c r="J198" s="48" t="s">
        <v>37</v>
      </c>
      <c r="K198" s="12">
        <f t="shared" si="3"/>
        <v>1.8671609575498991</v>
      </c>
    </row>
    <row r="199" spans="1:11" ht="16.5" thickBot="1" x14ac:dyDescent="0.3">
      <c r="A199" s="7" t="s">
        <v>8</v>
      </c>
      <c r="B199" s="49">
        <v>34.194600000000001</v>
      </c>
      <c r="C199" s="8">
        <v>200</v>
      </c>
      <c r="D199" s="8">
        <v>33000</v>
      </c>
      <c r="E199" s="8">
        <v>27</v>
      </c>
      <c r="F199" s="8" t="s">
        <v>9</v>
      </c>
      <c r="G199" s="8">
        <v>3.88972813</v>
      </c>
      <c r="H199" s="9">
        <v>102.85</v>
      </c>
      <c r="I199" s="5">
        <v>93</v>
      </c>
      <c r="J199" s="48" t="s">
        <v>37</v>
      </c>
      <c r="K199" s="12">
        <f t="shared" si="3"/>
        <v>2.0164065008711178</v>
      </c>
    </row>
    <row r="200" spans="1:11" ht="16.5" thickBot="1" x14ac:dyDescent="0.3">
      <c r="A200" s="7" t="s">
        <v>8</v>
      </c>
      <c r="B200" s="49">
        <v>24.617599999999999</v>
      </c>
      <c r="C200" s="8">
        <v>10</v>
      </c>
      <c r="D200" s="8">
        <v>33000</v>
      </c>
      <c r="E200" s="8">
        <v>27</v>
      </c>
      <c r="F200" s="8" t="s">
        <v>10</v>
      </c>
      <c r="G200" s="8">
        <v>2.8003185099999999</v>
      </c>
      <c r="H200" s="9">
        <v>0.81599999999999995</v>
      </c>
      <c r="I200" s="5">
        <v>100</v>
      </c>
      <c r="J200" s="48" t="s">
        <v>37</v>
      </c>
      <c r="K200" s="12">
        <f t="shared" si="3"/>
        <v>0.25911584418506628</v>
      </c>
    </row>
    <row r="201" spans="1:11" ht="16.5" thickBot="1" x14ac:dyDescent="0.3">
      <c r="A201" s="7" t="s">
        <v>8</v>
      </c>
      <c r="B201" s="49">
        <v>24.617599999999999</v>
      </c>
      <c r="C201" s="8">
        <v>50</v>
      </c>
      <c r="D201" s="8">
        <v>33000</v>
      </c>
      <c r="E201" s="8">
        <v>27</v>
      </c>
      <c r="F201" s="8" t="s">
        <v>10</v>
      </c>
      <c r="G201" s="8">
        <v>2.8003185099999999</v>
      </c>
      <c r="H201" s="9">
        <v>7.3460000000000001</v>
      </c>
      <c r="I201" s="5">
        <v>100</v>
      </c>
      <c r="J201" s="48" t="s">
        <v>37</v>
      </c>
      <c r="K201" s="12">
        <f t="shared" si="3"/>
        <v>0.92147838037569008</v>
      </c>
    </row>
    <row r="202" spans="1:11" ht="16.5" thickBot="1" x14ac:dyDescent="0.3">
      <c r="A202" s="7" t="s">
        <v>8</v>
      </c>
      <c r="B202" s="49">
        <v>24.617599999999999</v>
      </c>
      <c r="C202" s="8">
        <v>100</v>
      </c>
      <c r="D202" s="8">
        <v>33000</v>
      </c>
      <c r="E202" s="8">
        <v>27</v>
      </c>
      <c r="F202" s="8" t="s">
        <v>10</v>
      </c>
      <c r="G202" s="8">
        <v>2.8003185099999999</v>
      </c>
      <c r="H202" s="9">
        <v>14.146000000000001</v>
      </c>
      <c r="I202" s="5">
        <v>100</v>
      </c>
      <c r="J202" s="48" t="s">
        <v>37</v>
      </c>
      <c r="K202" s="12">
        <f t="shared" si="3"/>
        <v>1.1802979524885939</v>
      </c>
    </row>
    <row r="203" spans="1:11" ht="16.5" thickBot="1" x14ac:dyDescent="0.3">
      <c r="A203" s="7" t="s">
        <v>8</v>
      </c>
      <c r="B203" s="49">
        <v>24.617599999999999</v>
      </c>
      <c r="C203" s="8">
        <v>150</v>
      </c>
      <c r="D203" s="8">
        <v>33000</v>
      </c>
      <c r="E203" s="8">
        <v>27</v>
      </c>
      <c r="F203" s="8" t="s">
        <v>10</v>
      </c>
      <c r="G203" s="8">
        <v>2.8003185099999999</v>
      </c>
      <c r="H203" s="9">
        <v>20.407</v>
      </c>
      <c r="I203" s="5">
        <v>100</v>
      </c>
      <c r="J203" s="48" t="s">
        <v>37</v>
      </c>
      <c r="K203" s="12">
        <f t="shared" si="3"/>
        <v>1.3305558090629956</v>
      </c>
    </row>
    <row r="204" spans="1:11" ht="16.5" thickBot="1" x14ac:dyDescent="0.3">
      <c r="A204" s="7" t="s">
        <v>8</v>
      </c>
      <c r="B204" s="49">
        <v>24.617599999999999</v>
      </c>
      <c r="C204" s="8">
        <v>200</v>
      </c>
      <c r="D204" s="8">
        <v>33000</v>
      </c>
      <c r="E204" s="8">
        <v>27</v>
      </c>
      <c r="F204" s="8" t="s">
        <v>10</v>
      </c>
      <c r="G204" s="8">
        <v>2.8003185099999999</v>
      </c>
      <c r="H204" s="9">
        <v>30.202000000000002</v>
      </c>
      <c r="I204" s="5">
        <v>100</v>
      </c>
      <c r="J204" s="48" t="s">
        <v>37</v>
      </c>
      <c r="K204" s="12">
        <f t="shared" si="3"/>
        <v>1.4941824325160584</v>
      </c>
    </row>
    <row r="205" spans="1:11" ht="16.5" thickBot="1" x14ac:dyDescent="0.3">
      <c r="A205" s="7" t="s">
        <v>8</v>
      </c>
      <c r="B205" s="49">
        <v>16.610600000000002</v>
      </c>
      <c r="C205" s="8">
        <v>10</v>
      </c>
      <c r="D205" s="8">
        <v>33000</v>
      </c>
      <c r="E205" s="8">
        <v>27</v>
      </c>
      <c r="F205" s="8" t="s">
        <v>9</v>
      </c>
      <c r="G205" s="8">
        <v>1.8895006299999999</v>
      </c>
      <c r="H205" s="9">
        <v>1.0860000000000001</v>
      </c>
      <c r="I205" s="5">
        <v>100</v>
      </c>
      <c r="J205" s="48" t="s">
        <v>37</v>
      </c>
      <c r="K205" s="12">
        <f t="shared" si="3"/>
        <v>0.31931430409051215</v>
      </c>
    </row>
    <row r="206" spans="1:11" ht="16.5" thickBot="1" x14ac:dyDescent="0.3">
      <c r="A206" s="7" t="s">
        <v>8</v>
      </c>
      <c r="B206" s="49">
        <v>16.610600000000002</v>
      </c>
      <c r="C206" s="8">
        <v>50</v>
      </c>
      <c r="D206" s="8">
        <v>33000</v>
      </c>
      <c r="E206" s="8">
        <v>27</v>
      </c>
      <c r="F206" s="8" t="s">
        <v>9</v>
      </c>
      <c r="G206" s="8">
        <v>1.8895006299999999</v>
      </c>
      <c r="H206" s="9">
        <v>7.3460000000000001</v>
      </c>
      <c r="I206" s="5">
        <v>100</v>
      </c>
      <c r="J206" s="48" t="s">
        <v>37</v>
      </c>
      <c r="K206" s="12">
        <f t="shared" si="3"/>
        <v>0.92147838037569008</v>
      </c>
    </row>
    <row r="207" spans="1:11" ht="16.5" thickBot="1" x14ac:dyDescent="0.3">
      <c r="A207" s="7" t="s">
        <v>8</v>
      </c>
      <c r="B207" s="49">
        <v>16.610600000000002</v>
      </c>
      <c r="C207" s="8">
        <v>100</v>
      </c>
      <c r="D207" s="8">
        <v>33000</v>
      </c>
      <c r="E207" s="8">
        <v>27</v>
      </c>
      <c r="F207" s="8" t="s">
        <v>9</v>
      </c>
      <c r="G207" s="8">
        <v>1.8895006299999999</v>
      </c>
      <c r="H207" s="9">
        <v>16.594999999999999</v>
      </c>
      <c r="I207" s="5">
        <v>100</v>
      </c>
      <c r="J207" s="48" t="s">
        <v>37</v>
      </c>
      <c r="K207" s="12">
        <f t="shared" si="3"/>
        <v>1.2453892711712105</v>
      </c>
    </row>
    <row r="208" spans="1:11" ht="16.5" thickBot="1" x14ac:dyDescent="0.3">
      <c r="A208" s="7" t="s">
        <v>8</v>
      </c>
      <c r="B208" s="49">
        <v>16.610600000000002</v>
      </c>
      <c r="C208" s="8">
        <v>150</v>
      </c>
      <c r="D208" s="8">
        <v>33000</v>
      </c>
      <c r="E208" s="8">
        <v>27</v>
      </c>
      <c r="F208" s="8" t="s">
        <v>9</v>
      </c>
      <c r="G208" s="8">
        <v>1.8895006299999999</v>
      </c>
      <c r="H208" s="9">
        <v>26.120999999999999</v>
      </c>
      <c r="I208" s="5">
        <v>100</v>
      </c>
      <c r="J208" s="48" t="s">
        <v>37</v>
      </c>
      <c r="K208" s="12">
        <f t="shared" si="3"/>
        <v>1.433305698708123</v>
      </c>
    </row>
    <row r="209" spans="1:11" ht="16.5" thickBot="1" x14ac:dyDescent="0.3">
      <c r="A209" s="7" t="s">
        <v>8</v>
      </c>
      <c r="B209" s="49">
        <v>16.610600000000002</v>
      </c>
      <c r="C209" s="8">
        <v>200</v>
      </c>
      <c r="D209" s="8">
        <v>33000</v>
      </c>
      <c r="E209" s="8">
        <v>27</v>
      </c>
      <c r="F209" s="8" t="s">
        <v>9</v>
      </c>
      <c r="G209" s="8">
        <v>1.8895006299999999</v>
      </c>
      <c r="H209" s="9">
        <v>33.189</v>
      </c>
      <c r="I209" s="5">
        <v>100</v>
      </c>
      <c r="J209" s="48" t="s">
        <v>37</v>
      </c>
      <c r="K209" s="12">
        <f t="shared" si="3"/>
        <v>1.5338863982276207</v>
      </c>
    </row>
    <row r="210" spans="1:11" ht="16.5" thickBot="1" x14ac:dyDescent="0.3">
      <c r="A210" s="7" t="s">
        <v>8</v>
      </c>
      <c r="B210" s="49">
        <v>21.226400000000002</v>
      </c>
      <c r="C210" s="8">
        <v>10</v>
      </c>
      <c r="D210" s="8">
        <v>33000</v>
      </c>
      <c r="E210" s="8">
        <v>27</v>
      </c>
      <c r="F210" s="8" t="s">
        <v>10</v>
      </c>
      <c r="G210" s="8">
        <v>2.4145603499999999</v>
      </c>
      <c r="H210" s="9">
        <v>1.633</v>
      </c>
      <c r="I210" s="5">
        <v>100</v>
      </c>
      <c r="J210" s="48" t="s">
        <v>37</v>
      </c>
      <c r="K210" s="12">
        <f t="shared" si="3"/>
        <v>0.42045085910606816</v>
      </c>
    </row>
    <row r="211" spans="1:11" ht="16.5" thickBot="1" x14ac:dyDescent="0.3">
      <c r="A211" s="7" t="s">
        <v>8</v>
      </c>
      <c r="B211" s="49">
        <v>21.226400000000002</v>
      </c>
      <c r="C211" s="8">
        <v>50</v>
      </c>
      <c r="D211" s="8">
        <v>33000</v>
      </c>
      <c r="E211" s="8">
        <v>27</v>
      </c>
      <c r="F211" s="8" t="s">
        <v>10</v>
      </c>
      <c r="G211" s="8">
        <v>2.4145603499999999</v>
      </c>
      <c r="H211" s="9">
        <v>3.2650000000000001</v>
      </c>
      <c r="I211" s="5">
        <v>100</v>
      </c>
      <c r="J211" s="48" t="s">
        <v>37</v>
      </c>
      <c r="K211" s="12">
        <f t="shared" si="3"/>
        <v>0.62991903550354189</v>
      </c>
    </row>
    <row r="212" spans="1:11" ht="16.5" thickBot="1" x14ac:dyDescent="0.3">
      <c r="A212" s="7" t="s">
        <v>8</v>
      </c>
      <c r="B212" s="49">
        <v>21.226400000000002</v>
      </c>
      <c r="C212" s="8">
        <v>100</v>
      </c>
      <c r="D212" s="8">
        <v>33000</v>
      </c>
      <c r="E212" s="8">
        <v>27</v>
      </c>
      <c r="F212" s="8" t="s">
        <v>10</v>
      </c>
      <c r="G212" s="8">
        <v>2.4145603499999999</v>
      </c>
      <c r="H212" s="9">
        <v>6.53</v>
      </c>
      <c r="I212" s="5">
        <v>100</v>
      </c>
      <c r="J212" s="48" t="s">
        <v>37</v>
      </c>
      <c r="K212" s="12">
        <f t="shared" si="3"/>
        <v>0.87679497620070057</v>
      </c>
    </row>
    <row r="213" spans="1:11" ht="16.5" thickBot="1" x14ac:dyDescent="0.3">
      <c r="A213" s="7" t="s">
        <v>8</v>
      </c>
      <c r="B213" s="49">
        <v>21.226400000000002</v>
      </c>
      <c r="C213" s="8">
        <v>150</v>
      </c>
      <c r="D213" s="8">
        <v>33000</v>
      </c>
      <c r="E213" s="8">
        <v>27</v>
      </c>
      <c r="F213" s="8" t="s">
        <v>10</v>
      </c>
      <c r="G213" s="8">
        <v>2.4145603499999999</v>
      </c>
      <c r="H213" s="9">
        <v>12.782999999999999</v>
      </c>
      <c r="I213" s="5">
        <v>100</v>
      </c>
      <c r="J213" s="48" t="s">
        <v>37</v>
      </c>
      <c r="K213" s="12">
        <f t="shared" si="3"/>
        <v>1.1393437561523749</v>
      </c>
    </row>
    <row r="214" spans="1:11" ht="16.5" thickBot="1" x14ac:dyDescent="0.3">
      <c r="A214" s="7" t="s">
        <v>8</v>
      </c>
      <c r="B214" s="49">
        <v>21.226400000000002</v>
      </c>
      <c r="C214" s="8">
        <v>200</v>
      </c>
      <c r="D214" s="8">
        <v>33000</v>
      </c>
      <c r="E214" s="8">
        <v>27</v>
      </c>
      <c r="F214" s="8" t="s">
        <v>10</v>
      </c>
      <c r="G214" s="8">
        <v>2.4145603499999999</v>
      </c>
      <c r="H214" s="9">
        <v>16.594999999999999</v>
      </c>
      <c r="I214" s="5">
        <v>100</v>
      </c>
      <c r="J214" s="48" t="s">
        <v>37</v>
      </c>
      <c r="K214" s="12">
        <f t="shared" si="3"/>
        <v>1.2453892711712105</v>
      </c>
    </row>
    <row r="215" spans="1:11" ht="16.5" thickBot="1" x14ac:dyDescent="0.3">
      <c r="A215" s="7" t="s">
        <v>8</v>
      </c>
      <c r="B215" s="49">
        <v>11.3354</v>
      </c>
      <c r="C215" s="8">
        <v>10</v>
      </c>
      <c r="D215" s="8">
        <v>33000</v>
      </c>
      <c r="E215" s="8">
        <v>27</v>
      </c>
      <c r="F215" s="8" t="s">
        <v>9</v>
      </c>
      <c r="G215" s="8">
        <v>1.2894323700000001</v>
      </c>
      <c r="H215" s="9">
        <v>2.1709999999999998</v>
      </c>
      <c r="I215" s="5">
        <v>100</v>
      </c>
      <c r="J215" s="48" t="s">
        <v>37</v>
      </c>
      <c r="K215" s="12">
        <f t="shared" si="3"/>
        <v>0.50119624202708868</v>
      </c>
    </row>
    <row r="216" spans="1:11" ht="16.5" thickBot="1" x14ac:dyDescent="0.3">
      <c r="A216" s="7" t="s">
        <v>8</v>
      </c>
      <c r="B216" s="49">
        <v>11.3354</v>
      </c>
      <c r="C216" s="8">
        <v>50</v>
      </c>
      <c r="D216" s="8">
        <v>33000</v>
      </c>
      <c r="E216" s="8">
        <v>27</v>
      </c>
      <c r="F216" s="8" t="s">
        <v>9</v>
      </c>
      <c r="G216" s="8">
        <v>1.2894323700000001</v>
      </c>
      <c r="H216" s="9">
        <v>3.5339999999999998</v>
      </c>
      <c r="I216" s="5">
        <v>100</v>
      </c>
      <c r="J216" s="48" t="s">
        <v>37</v>
      </c>
      <c r="K216" s="12">
        <f t="shared" si="3"/>
        <v>0.65648151579049852</v>
      </c>
    </row>
    <row r="217" spans="1:11" ht="16.5" thickBot="1" x14ac:dyDescent="0.3">
      <c r="A217" s="7" t="s">
        <v>8</v>
      </c>
      <c r="B217" s="49">
        <v>11.3354</v>
      </c>
      <c r="C217" s="8">
        <v>100</v>
      </c>
      <c r="D217" s="8">
        <v>33000</v>
      </c>
      <c r="E217" s="8">
        <v>27</v>
      </c>
      <c r="F217" s="8" t="s">
        <v>9</v>
      </c>
      <c r="G217" s="8">
        <v>1.2894323700000001</v>
      </c>
      <c r="H217" s="9">
        <v>11.15</v>
      </c>
      <c r="I217" s="5">
        <v>100</v>
      </c>
      <c r="J217" s="48" t="s">
        <v>37</v>
      </c>
      <c r="K217" s="12">
        <f t="shared" si="3"/>
        <v>1.0845762779343311</v>
      </c>
    </row>
    <row r="218" spans="1:11" ht="16.5" thickBot="1" x14ac:dyDescent="0.3">
      <c r="A218" s="7" t="s">
        <v>8</v>
      </c>
      <c r="B218" s="49">
        <v>11.3354</v>
      </c>
      <c r="C218" s="8">
        <v>150</v>
      </c>
      <c r="D218" s="8">
        <v>33000</v>
      </c>
      <c r="E218" s="8">
        <v>27</v>
      </c>
      <c r="F218" s="8" t="s">
        <v>9</v>
      </c>
      <c r="G218" s="8">
        <v>1.2894323700000001</v>
      </c>
      <c r="H218" s="9">
        <v>16.864000000000001</v>
      </c>
      <c r="I218" s="5">
        <v>100</v>
      </c>
      <c r="J218" s="48" t="s">
        <v>37</v>
      </c>
      <c r="K218" s="12">
        <f t="shared" si="3"/>
        <v>1.2519787100633815</v>
      </c>
    </row>
    <row r="219" spans="1:11" ht="16.5" thickBot="1" x14ac:dyDescent="0.3">
      <c r="A219" s="7" t="s">
        <v>8</v>
      </c>
      <c r="B219" s="49">
        <v>11.3354</v>
      </c>
      <c r="C219" s="8">
        <v>200</v>
      </c>
      <c r="D219" s="8">
        <v>33000</v>
      </c>
      <c r="E219" s="8">
        <v>27</v>
      </c>
      <c r="F219" s="8" t="s">
        <v>9</v>
      </c>
      <c r="G219" s="8">
        <v>1.2894323700000001</v>
      </c>
      <c r="H219" s="9">
        <v>22.308</v>
      </c>
      <c r="I219" s="5">
        <v>100</v>
      </c>
      <c r="J219" s="48" t="s">
        <v>37</v>
      </c>
      <c r="K219" s="12">
        <f t="shared" si="3"/>
        <v>1.3675050094181125</v>
      </c>
    </row>
    <row r="220" spans="1:11" ht="16.5" thickBot="1" x14ac:dyDescent="0.3">
      <c r="A220" s="7" t="s">
        <v>8</v>
      </c>
      <c r="B220" s="49">
        <v>62.179850000000002</v>
      </c>
      <c r="C220" s="8">
        <v>50</v>
      </c>
      <c r="D220" s="8">
        <v>35064</v>
      </c>
      <c r="E220" s="8">
        <v>27</v>
      </c>
      <c r="F220" s="8" t="s">
        <v>21</v>
      </c>
      <c r="G220" s="8">
        <v>5.3022991499999996</v>
      </c>
      <c r="H220" s="9">
        <v>25.31</v>
      </c>
      <c r="I220" s="5">
        <v>100</v>
      </c>
      <c r="J220" s="48" t="s">
        <v>37</v>
      </c>
      <c r="K220" s="12">
        <f t="shared" si="3"/>
        <v>1.4201208480857028</v>
      </c>
    </row>
    <row r="221" spans="1:11" ht="16.5" thickBot="1" x14ac:dyDescent="0.3">
      <c r="A221" s="7" t="s">
        <v>8</v>
      </c>
      <c r="B221" s="49">
        <v>62.179850000000002</v>
      </c>
      <c r="C221" s="8">
        <v>130</v>
      </c>
      <c r="D221" s="8">
        <v>35064</v>
      </c>
      <c r="E221" s="8">
        <v>27</v>
      </c>
      <c r="F221" s="8" t="s">
        <v>21</v>
      </c>
      <c r="G221" s="8">
        <v>5.3022991499999996</v>
      </c>
      <c r="H221" s="9">
        <v>66.513000000000005</v>
      </c>
      <c r="I221" s="5">
        <v>99.64</v>
      </c>
      <c r="J221" s="48" t="s">
        <v>37</v>
      </c>
      <c r="K221" s="12">
        <f t="shared" si="3"/>
        <v>1.8293874066778721</v>
      </c>
    </row>
    <row r="222" spans="1:11" ht="16.5" thickBot="1" x14ac:dyDescent="0.3">
      <c r="A222" s="7" t="s">
        <v>8</v>
      </c>
      <c r="B222" s="49">
        <v>62.179850000000002</v>
      </c>
      <c r="C222" s="8">
        <v>200</v>
      </c>
      <c r="D222" s="8">
        <v>35064</v>
      </c>
      <c r="E222" s="8">
        <v>27</v>
      </c>
      <c r="F222" s="8" t="s">
        <v>21</v>
      </c>
      <c r="G222" s="8">
        <v>5.3022991499999996</v>
      </c>
      <c r="H222" s="9">
        <v>99.48</v>
      </c>
      <c r="I222" s="5">
        <v>93.26</v>
      </c>
      <c r="J222" s="48" t="s">
        <v>37</v>
      </c>
      <c r="K222" s="12">
        <f t="shared" si="3"/>
        <v>2.0020796263931211</v>
      </c>
    </row>
    <row r="223" spans="1:11" ht="16.5" thickBot="1" x14ac:dyDescent="0.3">
      <c r="A223" s="7" t="s">
        <v>8</v>
      </c>
      <c r="B223" s="49">
        <v>62.179850000000002</v>
      </c>
      <c r="C223" s="8">
        <v>265</v>
      </c>
      <c r="D223" s="8">
        <v>35064</v>
      </c>
      <c r="E223" s="8">
        <v>27</v>
      </c>
      <c r="F223" s="8" t="s">
        <v>21</v>
      </c>
      <c r="G223" s="8">
        <v>5.3022991499999996</v>
      </c>
      <c r="H223" s="9">
        <v>132.446</v>
      </c>
      <c r="I223" s="5">
        <v>88.31</v>
      </c>
      <c r="J223" s="48" t="s">
        <v>37</v>
      </c>
      <c r="K223" s="12">
        <f t="shared" si="3"/>
        <v>2.1253055604842381</v>
      </c>
    </row>
    <row r="224" spans="1:11" ht="16.5" thickBot="1" x14ac:dyDescent="0.3">
      <c r="A224" s="7" t="s">
        <v>8</v>
      </c>
      <c r="B224" s="49">
        <v>62.179850000000002</v>
      </c>
      <c r="C224" s="8">
        <v>330</v>
      </c>
      <c r="D224" s="8">
        <v>35064</v>
      </c>
      <c r="E224" s="8">
        <v>27</v>
      </c>
      <c r="F224" s="8" t="s">
        <v>21</v>
      </c>
      <c r="G224" s="8">
        <v>5.3022991499999996</v>
      </c>
      <c r="H224" s="9">
        <v>166.60300000000001</v>
      </c>
      <c r="I224" s="5">
        <v>82.95</v>
      </c>
      <c r="J224" s="48" t="s">
        <v>37</v>
      </c>
      <c r="K224" s="12">
        <f t="shared" si="3"/>
        <v>2.2242817879922603</v>
      </c>
    </row>
    <row r="225" spans="1:11" ht="16.5" thickBot="1" x14ac:dyDescent="0.3">
      <c r="A225" s="7" t="s">
        <v>8</v>
      </c>
      <c r="B225" s="49">
        <v>62.179850000000002</v>
      </c>
      <c r="C225" s="8">
        <v>400</v>
      </c>
      <c r="D225" s="8">
        <v>35064</v>
      </c>
      <c r="E225" s="8">
        <v>27</v>
      </c>
      <c r="F225" s="8" t="s">
        <v>21</v>
      </c>
      <c r="G225" s="8">
        <v>5.3022991499999996</v>
      </c>
      <c r="H225" s="9">
        <v>198.37899999999999</v>
      </c>
      <c r="I225" s="5">
        <v>77.19</v>
      </c>
      <c r="J225" s="48" t="s">
        <v>37</v>
      </c>
      <c r="K225" s="12">
        <f t="shared" si="3"/>
        <v>2.2996794134319853</v>
      </c>
    </row>
    <row r="226" spans="1:11" ht="16.5" thickBot="1" x14ac:dyDescent="0.3">
      <c r="A226" s="7" t="s">
        <v>8</v>
      </c>
      <c r="B226" s="49">
        <v>62.179850000000002</v>
      </c>
      <c r="C226" s="8">
        <v>530</v>
      </c>
      <c r="D226" s="8">
        <v>35064</v>
      </c>
      <c r="E226" s="8">
        <v>27</v>
      </c>
      <c r="F226" s="8" t="s">
        <v>21</v>
      </c>
      <c r="G226" s="8">
        <v>5.3022991499999996</v>
      </c>
      <c r="H226" s="9">
        <v>264.32100000000003</v>
      </c>
      <c r="I226" s="5">
        <v>66.739999999999995</v>
      </c>
      <c r="J226" s="48" t="s">
        <v>37</v>
      </c>
      <c r="K226" s="12">
        <f t="shared" si="3"/>
        <v>2.4237716254937571</v>
      </c>
    </row>
    <row r="227" spans="1:11" ht="16.5" thickBot="1" x14ac:dyDescent="0.3">
      <c r="A227" s="7" t="s">
        <v>8</v>
      </c>
      <c r="B227" s="49">
        <v>51.50385</v>
      </c>
      <c r="C227" s="8">
        <v>50</v>
      </c>
      <c r="D227" s="8">
        <v>35064</v>
      </c>
      <c r="E227" s="8">
        <v>27</v>
      </c>
      <c r="F227" s="8" t="s">
        <v>22</v>
      </c>
      <c r="G227" s="8">
        <v>4.3919182799999996</v>
      </c>
      <c r="H227" s="9">
        <v>14.651999999999999</v>
      </c>
      <c r="I227" s="5">
        <v>100</v>
      </c>
      <c r="J227" s="48" t="s">
        <v>37</v>
      </c>
      <c r="K227" s="12">
        <f t="shared" si="3"/>
        <v>1.1945698392286426</v>
      </c>
    </row>
    <row r="228" spans="1:11" ht="16.5" thickBot="1" x14ac:dyDescent="0.3">
      <c r="A228" s="7" t="s">
        <v>8</v>
      </c>
      <c r="B228" s="49">
        <v>51.50385</v>
      </c>
      <c r="C228" s="8">
        <v>130</v>
      </c>
      <c r="D228" s="8">
        <v>35064</v>
      </c>
      <c r="E228" s="8">
        <v>27</v>
      </c>
      <c r="F228" s="8" t="s">
        <v>22</v>
      </c>
      <c r="G228" s="8">
        <v>4.3919182799999996</v>
      </c>
      <c r="H228" s="9">
        <v>35.728999999999999</v>
      </c>
      <c r="I228" s="5">
        <v>99.43</v>
      </c>
      <c r="J228" s="48" t="s">
        <v>37</v>
      </c>
      <c r="K228" s="12">
        <f t="shared" si="3"/>
        <v>1.5650091042125958</v>
      </c>
    </row>
    <row r="229" spans="1:11" ht="16.5" thickBot="1" x14ac:dyDescent="0.3">
      <c r="A229" s="7" t="s">
        <v>8</v>
      </c>
      <c r="B229" s="49">
        <v>51.50385</v>
      </c>
      <c r="C229" s="8">
        <v>200</v>
      </c>
      <c r="D229" s="8">
        <v>35064</v>
      </c>
      <c r="E229" s="8">
        <v>27</v>
      </c>
      <c r="F229" s="8" t="s">
        <v>22</v>
      </c>
      <c r="G229" s="8">
        <v>4.3919182799999996</v>
      </c>
      <c r="H229" s="9">
        <v>53.292999999999999</v>
      </c>
      <c r="I229" s="5">
        <v>96.08</v>
      </c>
      <c r="J229" s="48" t="s">
        <v>37</v>
      </c>
      <c r="K229" s="12">
        <f t="shared" si="3"/>
        <v>1.7347438395825383</v>
      </c>
    </row>
    <row r="230" spans="1:11" ht="16.5" thickBot="1" x14ac:dyDescent="0.3">
      <c r="A230" s="7" t="s">
        <v>8</v>
      </c>
      <c r="B230" s="49">
        <v>51.50385</v>
      </c>
      <c r="C230" s="8">
        <v>265</v>
      </c>
      <c r="D230" s="8">
        <v>35064</v>
      </c>
      <c r="E230" s="8">
        <v>27</v>
      </c>
      <c r="F230" s="8" t="s">
        <v>22</v>
      </c>
      <c r="G230" s="8">
        <v>4.3919182799999996</v>
      </c>
      <c r="H230" s="9">
        <v>87.25</v>
      </c>
      <c r="I230" s="5">
        <v>92.93</v>
      </c>
      <c r="J230" s="48" t="s">
        <v>37</v>
      </c>
      <c r="K230" s="12">
        <f t="shared" si="3"/>
        <v>1.9457147140598601</v>
      </c>
    </row>
    <row r="231" spans="1:11" ht="16.5" thickBot="1" x14ac:dyDescent="0.3">
      <c r="A231" s="7" t="s">
        <v>8</v>
      </c>
      <c r="B231" s="49">
        <v>51.50385</v>
      </c>
      <c r="C231" s="8">
        <v>330</v>
      </c>
      <c r="D231" s="8">
        <v>35064</v>
      </c>
      <c r="E231" s="8">
        <v>27</v>
      </c>
      <c r="F231" s="8" t="s">
        <v>22</v>
      </c>
      <c r="G231" s="8">
        <v>4.3919182799999996</v>
      </c>
      <c r="H231" s="9">
        <v>104.223</v>
      </c>
      <c r="I231" s="5">
        <v>89.38</v>
      </c>
      <c r="J231" s="48" t="s">
        <v>37</v>
      </c>
      <c r="K231" s="12">
        <f t="shared" si="3"/>
        <v>2.0221106797541677</v>
      </c>
    </row>
    <row r="232" spans="1:11" ht="16.5" thickBot="1" x14ac:dyDescent="0.3">
      <c r="A232" s="7" t="s">
        <v>8</v>
      </c>
      <c r="B232" s="49">
        <v>51.50385</v>
      </c>
      <c r="C232" s="8">
        <v>400</v>
      </c>
      <c r="D232" s="8">
        <v>35064</v>
      </c>
      <c r="E232" s="8">
        <v>27</v>
      </c>
      <c r="F232" s="8" t="s">
        <v>22</v>
      </c>
      <c r="G232" s="8">
        <v>4.3919182799999996</v>
      </c>
      <c r="H232" s="9">
        <v>136.41</v>
      </c>
      <c r="I232" s="5">
        <v>86.03</v>
      </c>
      <c r="J232" s="48" t="s">
        <v>37</v>
      </c>
      <c r="K232" s="12">
        <f t="shared" si="3"/>
        <v>2.1380183396142631</v>
      </c>
    </row>
    <row r="233" spans="1:11" ht="16.5" thickBot="1" x14ac:dyDescent="0.3">
      <c r="A233" s="7" t="s">
        <v>8</v>
      </c>
      <c r="B233" s="49">
        <v>51.50385</v>
      </c>
      <c r="C233" s="8">
        <v>530</v>
      </c>
      <c r="D233" s="8">
        <v>35064</v>
      </c>
      <c r="E233" s="8">
        <v>27</v>
      </c>
      <c r="F233" s="8" t="s">
        <v>22</v>
      </c>
      <c r="G233" s="8">
        <v>4.3919182799999996</v>
      </c>
      <c r="H233" s="9">
        <v>68.495000000000005</v>
      </c>
      <c r="I233" s="5">
        <v>79.33</v>
      </c>
      <c r="J233" s="48" t="s">
        <v>37</v>
      </c>
      <c r="K233" s="12">
        <f t="shared" si="3"/>
        <v>1.8419535592588365</v>
      </c>
    </row>
    <row r="234" spans="1:11" ht="16.5" thickBot="1" x14ac:dyDescent="0.3">
      <c r="A234" s="7" t="s">
        <v>8</v>
      </c>
      <c r="B234" s="49">
        <v>50.24</v>
      </c>
      <c r="C234" s="8">
        <v>50</v>
      </c>
      <c r="D234" s="8">
        <v>35064</v>
      </c>
      <c r="E234" s="8">
        <v>27</v>
      </c>
      <c r="F234" s="8" t="s">
        <v>22</v>
      </c>
      <c r="G234" s="8">
        <v>4.2841452499999999</v>
      </c>
      <c r="H234" s="9">
        <v>9.9079999999999995</v>
      </c>
      <c r="I234" s="5">
        <v>100</v>
      </c>
      <c r="J234" s="48" t="s">
        <v>37</v>
      </c>
      <c r="K234" s="12">
        <f t="shared" si="3"/>
        <v>1.0377451292695923</v>
      </c>
    </row>
    <row r="235" spans="1:11" ht="16.5" thickBot="1" x14ac:dyDescent="0.3">
      <c r="A235" s="7" t="s">
        <v>8</v>
      </c>
      <c r="B235" s="49">
        <v>50.24</v>
      </c>
      <c r="C235" s="8">
        <v>130</v>
      </c>
      <c r="D235" s="8">
        <v>35064</v>
      </c>
      <c r="E235" s="8">
        <v>27</v>
      </c>
      <c r="F235" s="8" t="s">
        <v>22</v>
      </c>
      <c r="G235" s="8">
        <v>4.2841452499999999</v>
      </c>
      <c r="H235" s="9">
        <v>28.623000000000001</v>
      </c>
      <c r="I235" s="5">
        <v>99.43</v>
      </c>
      <c r="J235" s="48" t="s">
        <v>37</v>
      </c>
      <c r="K235" s="12">
        <f t="shared" si="3"/>
        <v>1.4716290385697355</v>
      </c>
    </row>
    <row r="236" spans="1:11" ht="16.5" thickBot="1" x14ac:dyDescent="0.3">
      <c r="A236" s="7" t="s">
        <v>8</v>
      </c>
      <c r="B236" s="49">
        <v>50.24</v>
      </c>
      <c r="C236" s="8">
        <v>200</v>
      </c>
      <c r="D236" s="8">
        <v>35064</v>
      </c>
      <c r="E236" s="8">
        <v>27</v>
      </c>
      <c r="F236" s="8" t="s">
        <v>22</v>
      </c>
      <c r="G236" s="8">
        <v>4.2841452499999999</v>
      </c>
      <c r="H236" s="9">
        <v>44.996000000000002</v>
      </c>
      <c r="I236" s="5">
        <v>96.08</v>
      </c>
      <c r="J236" s="48" t="s">
        <v>37</v>
      </c>
      <c r="K236" s="12">
        <f t="shared" si="3"/>
        <v>1.6627200653019769</v>
      </c>
    </row>
    <row r="237" spans="1:11" ht="16.5" thickBot="1" x14ac:dyDescent="0.3">
      <c r="A237" s="7" t="s">
        <v>8</v>
      </c>
      <c r="B237" s="49">
        <v>50.24</v>
      </c>
      <c r="C237" s="8">
        <v>265</v>
      </c>
      <c r="D237" s="8">
        <v>35064</v>
      </c>
      <c r="E237" s="8">
        <v>27</v>
      </c>
      <c r="F237" s="8" t="s">
        <v>22</v>
      </c>
      <c r="G237" s="8">
        <v>4.2841452499999999</v>
      </c>
      <c r="H237" s="9">
        <v>59.017000000000003</v>
      </c>
      <c r="I237" s="5">
        <v>92.93</v>
      </c>
      <c r="J237" s="48" t="s">
        <v>37</v>
      </c>
      <c r="K237" s="12">
        <f t="shared" si="3"/>
        <v>1.7782742830580436</v>
      </c>
    </row>
    <row r="238" spans="1:11" ht="16.5" thickBot="1" x14ac:dyDescent="0.3">
      <c r="A238" s="7" t="s">
        <v>8</v>
      </c>
      <c r="B238" s="49">
        <v>50.24</v>
      </c>
      <c r="C238" s="8">
        <v>330</v>
      </c>
      <c r="D238" s="8">
        <v>35064</v>
      </c>
      <c r="E238" s="8">
        <v>27</v>
      </c>
      <c r="F238" s="8" t="s">
        <v>22</v>
      </c>
      <c r="G238" s="8">
        <v>4.2841452499999999</v>
      </c>
      <c r="H238" s="9">
        <v>74.819999999999993</v>
      </c>
      <c r="I238" s="5">
        <v>89.38</v>
      </c>
      <c r="J238" s="48" t="s">
        <v>37</v>
      </c>
      <c r="K238" s="12">
        <f t="shared" si="3"/>
        <v>1.8797837800904158</v>
      </c>
    </row>
    <row r="239" spans="1:11" ht="16.5" thickBot="1" x14ac:dyDescent="0.3">
      <c r="A239" s="7" t="s">
        <v>8</v>
      </c>
      <c r="B239" s="49">
        <v>50.24</v>
      </c>
      <c r="C239" s="8">
        <v>400</v>
      </c>
      <c r="D239" s="8">
        <v>35064</v>
      </c>
      <c r="E239" s="8">
        <v>27</v>
      </c>
      <c r="F239" s="8" t="s">
        <v>22</v>
      </c>
      <c r="G239" s="8">
        <v>4.2841452499999999</v>
      </c>
      <c r="H239" s="9">
        <v>91.784000000000006</v>
      </c>
      <c r="I239" s="5">
        <v>86.03</v>
      </c>
      <c r="J239" s="48" t="s">
        <v>37</v>
      </c>
      <c r="K239" s="12">
        <f t="shared" si="3"/>
        <v>1.9674730914041403</v>
      </c>
    </row>
    <row r="240" spans="1:11" ht="16.5" thickBot="1" x14ac:dyDescent="0.3">
      <c r="A240" s="7" t="s">
        <v>8</v>
      </c>
      <c r="B240" s="49">
        <v>50.24</v>
      </c>
      <c r="C240" s="8">
        <v>530</v>
      </c>
      <c r="D240" s="8">
        <v>35064</v>
      </c>
      <c r="E240" s="8">
        <v>27</v>
      </c>
      <c r="F240" s="8" t="s">
        <v>22</v>
      </c>
      <c r="G240" s="8">
        <v>4.2841452499999999</v>
      </c>
      <c r="H240" s="9">
        <v>121.608</v>
      </c>
      <c r="I240" s="5">
        <v>79.33</v>
      </c>
      <c r="J240" s="48" t="s">
        <v>37</v>
      </c>
      <c r="K240" s="12">
        <f t="shared" si="3"/>
        <v>2.0885188082126112</v>
      </c>
    </row>
    <row r="241" spans="1:11" ht="16.5" thickBot="1" x14ac:dyDescent="0.3">
      <c r="A241" s="7" t="s">
        <v>8</v>
      </c>
      <c r="B241" s="49">
        <v>44.15625</v>
      </c>
      <c r="C241" s="8">
        <v>50</v>
      </c>
      <c r="D241" s="8">
        <v>35064</v>
      </c>
      <c r="E241" s="8">
        <v>27</v>
      </c>
      <c r="F241" s="8" t="s">
        <v>23</v>
      </c>
      <c r="G241" s="8">
        <v>3.7653620399999999</v>
      </c>
      <c r="H241" s="9">
        <v>9.8979999999999997</v>
      </c>
      <c r="I241" s="5">
        <v>100</v>
      </c>
      <c r="J241" s="48" t="s">
        <v>37</v>
      </c>
      <c r="K241" s="12">
        <f t="shared" si="3"/>
        <v>1.0373468035680899</v>
      </c>
    </row>
    <row r="242" spans="1:11" ht="16.5" thickBot="1" x14ac:dyDescent="0.3">
      <c r="A242" s="7" t="s">
        <v>8</v>
      </c>
      <c r="B242" s="49">
        <v>44.15625</v>
      </c>
      <c r="C242" s="8">
        <v>130</v>
      </c>
      <c r="D242" s="8">
        <v>35064</v>
      </c>
      <c r="E242" s="8">
        <v>27</v>
      </c>
      <c r="F242" s="8" t="s">
        <v>23</v>
      </c>
      <c r="G242" s="8">
        <v>3.7653620399999999</v>
      </c>
      <c r="H242" s="9">
        <v>23.879000000000001</v>
      </c>
      <c r="I242" s="5">
        <v>99.63</v>
      </c>
      <c r="J242" s="48" t="s">
        <v>37</v>
      </c>
      <c r="K242" s="12">
        <f t="shared" si="3"/>
        <v>1.3958329201019837</v>
      </c>
    </row>
    <row r="243" spans="1:11" ht="16.5" thickBot="1" x14ac:dyDescent="0.3">
      <c r="A243" s="7" t="s">
        <v>8</v>
      </c>
      <c r="B243" s="49">
        <v>44.15625</v>
      </c>
      <c r="C243" s="8">
        <v>200</v>
      </c>
      <c r="D243" s="8">
        <v>35064</v>
      </c>
      <c r="E243" s="8">
        <v>27</v>
      </c>
      <c r="F243" s="8" t="s">
        <v>23</v>
      </c>
      <c r="G243" s="8">
        <v>3.7653620399999999</v>
      </c>
      <c r="H243" s="9">
        <v>36.109000000000002</v>
      </c>
      <c r="I243" s="5">
        <v>98.49</v>
      </c>
      <c r="J243" s="48" t="s">
        <v>37</v>
      </c>
      <c r="K243" s="12">
        <f t="shared" si="3"/>
        <v>1.5694792512947962</v>
      </c>
    </row>
    <row r="244" spans="1:11" ht="16.5" thickBot="1" x14ac:dyDescent="0.3">
      <c r="A244" s="7" t="s">
        <v>8</v>
      </c>
      <c r="B244" s="49">
        <v>44.15625</v>
      </c>
      <c r="C244" s="8">
        <v>265</v>
      </c>
      <c r="D244" s="8">
        <v>35064</v>
      </c>
      <c r="E244" s="8">
        <v>27</v>
      </c>
      <c r="F244" s="8" t="s">
        <v>23</v>
      </c>
      <c r="G244" s="8">
        <v>3.7653620399999999</v>
      </c>
      <c r="H244" s="9">
        <v>51.911999999999999</v>
      </c>
      <c r="I244" s="5">
        <v>98.15</v>
      </c>
      <c r="J244" s="48" t="s">
        <v>37</v>
      </c>
      <c r="K244" s="12">
        <f t="shared" si="3"/>
        <v>1.7235541775696277</v>
      </c>
    </row>
    <row r="245" spans="1:11" ht="16.5" thickBot="1" x14ac:dyDescent="0.3">
      <c r="A245" s="7" t="s">
        <v>8</v>
      </c>
      <c r="B245" s="49">
        <v>44.15625</v>
      </c>
      <c r="C245" s="8">
        <v>330</v>
      </c>
      <c r="D245" s="8">
        <v>35064</v>
      </c>
      <c r="E245" s="8">
        <v>27</v>
      </c>
      <c r="F245" s="8" t="s">
        <v>23</v>
      </c>
      <c r="G245" s="8">
        <v>3.7653620399999999</v>
      </c>
      <c r="H245" s="9">
        <v>63.561</v>
      </c>
      <c r="I245" s="5">
        <v>97.83</v>
      </c>
      <c r="J245" s="48" t="s">
        <v>37</v>
      </c>
      <c r="K245" s="12">
        <f t="shared" si="3"/>
        <v>1.8099702486520322</v>
      </c>
    </row>
    <row r="246" spans="1:11" ht="16.5" thickBot="1" x14ac:dyDescent="0.3">
      <c r="A246" s="7" t="s">
        <v>8</v>
      </c>
      <c r="B246" s="49">
        <v>44.15625</v>
      </c>
      <c r="C246" s="8">
        <v>400</v>
      </c>
      <c r="D246" s="8">
        <v>35064</v>
      </c>
      <c r="E246" s="8">
        <v>27</v>
      </c>
      <c r="F246" s="8" t="s">
        <v>23</v>
      </c>
      <c r="G246" s="8">
        <v>3.7653620399999999</v>
      </c>
      <c r="H246" s="9">
        <v>75.209999999999994</v>
      </c>
      <c r="I246" s="5">
        <v>97.29</v>
      </c>
      <c r="J246" s="48" t="s">
        <v>37</v>
      </c>
      <c r="K246" s="12">
        <f t="shared" si="3"/>
        <v>1.8820119616266586</v>
      </c>
    </row>
    <row r="247" spans="1:11" ht="16.5" thickBot="1" x14ac:dyDescent="0.3">
      <c r="A247" s="7" t="s">
        <v>8</v>
      </c>
      <c r="B247" s="49">
        <v>44.15625</v>
      </c>
      <c r="C247" s="8">
        <v>530</v>
      </c>
      <c r="D247" s="8">
        <v>35064</v>
      </c>
      <c r="E247" s="8">
        <v>27</v>
      </c>
      <c r="F247" s="8" t="s">
        <v>23</v>
      </c>
      <c r="G247" s="8">
        <v>3.7653620399999999</v>
      </c>
      <c r="H247" s="9">
        <v>102.062</v>
      </c>
      <c r="I247" s="5">
        <v>96.23</v>
      </c>
      <c r="J247" s="48" t="s">
        <v>37</v>
      </c>
      <c r="K247" s="12">
        <f t="shared" si="3"/>
        <v>2.0130985660363301</v>
      </c>
    </row>
    <row r="248" spans="1:11" ht="16.5" thickBot="1" x14ac:dyDescent="0.3">
      <c r="A248" s="7" t="s">
        <v>8</v>
      </c>
      <c r="B248" s="49">
        <v>47.759399999999999</v>
      </c>
      <c r="C248" s="8">
        <v>50</v>
      </c>
      <c r="D248" s="8">
        <v>35064</v>
      </c>
      <c r="E248" s="8">
        <v>27</v>
      </c>
      <c r="F248" s="8" t="s">
        <v>10</v>
      </c>
      <c r="G248" s="8">
        <v>4.0726155799999999</v>
      </c>
      <c r="H248" s="9">
        <v>8.7270000000000003</v>
      </c>
      <c r="I248" s="5">
        <v>100</v>
      </c>
      <c r="J248" s="48" t="s">
        <v>37</v>
      </c>
      <c r="K248" s="12">
        <f t="shared" si="3"/>
        <v>0.98797891587548203</v>
      </c>
    </row>
    <row r="249" spans="1:11" ht="16.5" thickBot="1" x14ac:dyDescent="0.3">
      <c r="A249" s="7" t="s">
        <v>8</v>
      </c>
      <c r="B249" s="49">
        <v>47.759399999999999</v>
      </c>
      <c r="C249" s="8">
        <v>130</v>
      </c>
      <c r="D249" s="8">
        <v>35064</v>
      </c>
      <c r="E249" s="8">
        <v>27</v>
      </c>
      <c r="F249" s="8" t="s">
        <v>10</v>
      </c>
      <c r="G249" s="8">
        <v>4.0726155799999999</v>
      </c>
      <c r="H249" s="9">
        <v>21.516999999999999</v>
      </c>
      <c r="I249" s="5">
        <v>99.22</v>
      </c>
      <c r="J249" s="48" t="s">
        <v>37</v>
      </c>
      <c r="K249" s="12">
        <f t="shared" si="3"/>
        <v>1.3525105278207308</v>
      </c>
    </row>
    <row r="250" spans="1:11" ht="16.5" thickBot="1" x14ac:dyDescent="0.3">
      <c r="A250" s="7" t="s">
        <v>8</v>
      </c>
      <c r="B250" s="49">
        <v>47.759399999999999</v>
      </c>
      <c r="C250" s="8">
        <v>200</v>
      </c>
      <c r="D250" s="8">
        <v>35064</v>
      </c>
      <c r="E250" s="8">
        <v>27</v>
      </c>
      <c r="F250" s="8" t="s">
        <v>10</v>
      </c>
      <c r="G250" s="8">
        <v>4.0726155799999999</v>
      </c>
      <c r="H250" s="9">
        <v>32.566000000000003</v>
      </c>
      <c r="I250" s="5">
        <v>97.89</v>
      </c>
      <c r="J250" s="48" t="s">
        <v>37</v>
      </c>
      <c r="K250" s="12">
        <f t="shared" si="3"/>
        <v>1.5258995902372383</v>
      </c>
    </row>
    <row r="251" spans="1:11" ht="16.5" thickBot="1" x14ac:dyDescent="0.3">
      <c r="A251" s="7" t="s">
        <v>8</v>
      </c>
      <c r="B251" s="49">
        <v>47.759399999999999</v>
      </c>
      <c r="C251" s="8">
        <v>265</v>
      </c>
      <c r="D251" s="8">
        <v>35064</v>
      </c>
      <c r="E251" s="8">
        <v>27</v>
      </c>
      <c r="F251" s="8" t="s">
        <v>10</v>
      </c>
      <c r="G251" s="8">
        <v>4.0726155799999999</v>
      </c>
      <c r="H251" s="9">
        <v>44.216000000000001</v>
      </c>
      <c r="I251" s="5">
        <v>96.55</v>
      </c>
      <c r="J251" s="48" t="s">
        <v>37</v>
      </c>
      <c r="K251" s="12">
        <f t="shared" si="3"/>
        <v>1.6552921401684646</v>
      </c>
    </row>
    <row r="252" spans="1:11" ht="16.5" thickBot="1" x14ac:dyDescent="0.3">
      <c r="A252" s="7" t="s">
        <v>8</v>
      </c>
      <c r="B252" s="49">
        <v>47.759399999999999</v>
      </c>
      <c r="C252" s="8">
        <v>330</v>
      </c>
      <c r="D252" s="8">
        <v>35064</v>
      </c>
      <c r="E252" s="8">
        <v>27</v>
      </c>
      <c r="F252" s="8" t="s">
        <v>10</v>
      </c>
      <c r="G252" s="8">
        <v>4.0726155799999999</v>
      </c>
      <c r="H252" s="9">
        <v>55.274000000000001</v>
      </c>
      <c r="I252" s="5">
        <v>95.21</v>
      </c>
      <c r="J252" s="48" t="s">
        <v>37</v>
      </c>
      <c r="K252" s="12">
        <f t="shared" si="3"/>
        <v>1.7503077862431373</v>
      </c>
    </row>
    <row r="253" spans="1:11" ht="16.5" thickBot="1" x14ac:dyDescent="0.3">
      <c r="A253" s="7" t="s">
        <v>8</v>
      </c>
      <c r="B253" s="49">
        <v>47.759399999999999</v>
      </c>
      <c r="C253" s="8">
        <v>400</v>
      </c>
      <c r="D253" s="8">
        <v>35064</v>
      </c>
      <c r="E253" s="8">
        <v>27</v>
      </c>
      <c r="F253" s="8" t="s">
        <v>10</v>
      </c>
      <c r="G253" s="8">
        <v>4.0726155799999999</v>
      </c>
      <c r="H253" s="9">
        <v>67.504000000000005</v>
      </c>
      <c r="I253" s="5">
        <v>94.67</v>
      </c>
      <c r="J253" s="48" t="s">
        <v>37</v>
      </c>
      <c r="K253" s="12">
        <f t="shared" si="3"/>
        <v>1.8357159310137259</v>
      </c>
    </row>
    <row r="254" spans="1:11" ht="16.5" thickBot="1" x14ac:dyDescent="0.3">
      <c r="A254" s="7" t="s">
        <v>8</v>
      </c>
      <c r="B254" s="49">
        <v>47.759399999999999</v>
      </c>
      <c r="C254" s="8">
        <v>530</v>
      </c>
      <c r="D254" s="8">
        <v>35064</v>
      </c>
      <c r="E254" s="8">
        <v>27</v>
      </c>
      <c r="F254" s="8" t="s">
        <v>10</v>
      </c>
      <c r="G254" s="8">
        <v>4.0726155799999999</v>
      </c>
      <c r="H254" s="9">
        <v>90.201999999999998</v>
      </c>
      <c r="I254" s="5">
        <v>92.2</v>
      </c>
      <c r="J254" s="48" t="s">
        <v>37</v>
      </c>
      <c r="K254" s="12">
        <f t="shared" si="3"/>
        <v>1.9600043622257839</v>
      </c>
    </row>
    <row r="255" spans="1:11" ht="16.5" thickBot="1" x14ac:dyDescent="0.3">
      <c r="A255" s="7" t="s">
        <v>8</v>
      </c>
      <c r="B255" s="49">
        <v>33.166249999999998</v>
      </c>
      <c r="C255" s="8">
        <v>50</v>
      </c>
      <c r="D255" s="8">
        <v>201670</v>
      </c>
      <c r="E255" s="8">
        <v>27</v>
      </c>
      <c r="F255" s="8" t="s">
        <v>9</v>
      </c>
      <c r="G255" s="8">
        <v>1.7614263999999999</v>
      </c>
      <c r="H255" s="9">
        <v>29.649000000000001</v>
      </c>
      <c r="I255" s="5">
        <v>100</v>
      </c>
      <c r="J255" s="48" t="s">
        <v>37</v>
      </c>
      <c r="K255" s="12">
        <f t="shared" si="3"/>
        <v>1.4864163091458924</v>
      </c>
    </row>
    <row r="256" spans="1:11" ht="16.5" thickBot="1" x14ac:dyDescent="0.3">
      <c r="A256" s="7" t="s">
        <v>8</v>
      </c>
      <c r="B256" s="49">
        <v>33.166249999999998</v>
      </c>
      <c r="C256" s="8">
        <v>100</v>
      </c>
      <c r="D256" s="8">
        <v>201670</v>
      </c>
      <c r="E256" s="8">
        <v>27</v>
      </c>
      <c r="F256" s="8" t="s">
        <v>9</v>
      </c>
      <c r="G256" s="8">
        <v>1.7614263999999999</v>
      </c>
      <c r="H256" s="9">
        <v>59.296999999999997</v>
      </c>
      <c r="I256" s="5">
        <v>100</v>
      </c>
      <c r="J256" s="48" t="s">
        <v>37</v>
      </c>
      <c r="K256" s="12">
        <f t="shared" si="3"/>
        <v>1.7802957049120116</v>
      </c>
    </row>
    <row r="257" spans="1:11" ht="16.5" thickBot="1" x14ac:dyDescent="0.3">
      <c r="A257" s="7" t="s">
        <v>8</v>
      </c>
      <c r="B257" s="49">
        <v>33.166249999999998</v>
      </c>
      <c r="C257" s="8">
        <v>200</v>
      </c>
      <c r="D257" s="8">
        <v>201670</v>
      </c>
      <c r="E257" s="8">
        <v>27</v>
      </c>
      <c r="F257" s="8" t="s">
        <v>9</v>
      </c>
      <c r="G257" s="8">
        <v>1.7614263999999999</v>
      </c>
      <c r="H257" s="9">
        <v>118.595</v>
      </c>
      <c r="I257" s="5">
        <v>100</v>
      </c>
      <c r="J257" s="48" t="s">
        <v>37</v>
      </c>
      <c r="K257" s="12">
        <f t="shared" si="3"/>
        <v>2.0777130231490384</v>
      </c>
    </row>
    <row r="258" spans="1:11" ht="16.5" thickBot="1" x14ac:dyDescent="0.3">
      <c r="A258" s="7" t="s">
        <v>8</v>
      </c>
      <c r="B258" s="49">
        <v>33.166249999999998</v>
      </c>
      <c r="C258" s="8">
        <v>300</v>
      </c>
      <c r="D258" s="8">
        <v>201670</v>
      </c>
      <c r="E258" s="8">
        <v>27</v>
      </c>
      <c r="F258" s="8" t="s">
        <v>9</v>
      </c>
      <c r="G258" s="8">
        <v>1.7614263999999999</v>
      </c>
      <c r="H258" s="9">
        <v>177.892</v>
      </c>
      <c r="I258" s="5">
        <v>100</v>
      </c>
      <c r="J258" s="48" t="s">
        <v>37</v>
      </c>
      <c r="K258" s="12">
        <f t="shared" si="3"/>
        <v>2.252590919474359</v>
      </c>
    </row>
    <row r="259" spans="1:11" ht="16.5" thickBot="1" x14ac:dyDescent="0.3">
      <c r="A259" s="7" t="s">
        <v>8</v>
      </c>
      <c r="B259" s="49">
        <v>52.013786000000003</v>
      </c>
      <c r="C259" s="8">
        <v>50</v>
      </c>
      <c r="D259" s="8">
        <v>201670</v>
      </c>
      <c r="E259" s="8">
        <v>27</v>
      </c>
      <c r="F259" s="8" t="s">
        <v>22</v>
      </c>
      <c r="G259" s="8">
        <v>2.76240021</v>
      </c>
      <c r="H259" s="9">
        <v>58.167999999999999</v>
      </c>
      <c r="I259" s="5">
        <v>94.93</v>
      </c>
      <c r="J259" s="48" t="s">
        <v>37</v>
      </c>
      <c r="K259" s="12">
        <f t="shared" ref="K259:K322" si="4">LOG(H259+1)</f>
        <v>1.7720868894790791</v>
      </c>
    </row>
    <row r="260" spans="1:11" ht="16.5" thickBot="1" x14ac:dyDescent="0.3">
      <c r="A260" s="7" t="s">
        <v>8</v>
      </c>
      <c r="B260" s="49">
        <v>52.013786000000003</v>
      </c>
      <c r="C260" s="8">
        <v>100</v>
      </c>
      <c r="D260" s="8">
        <v>201670</v>
      </c>
      <c r="E260" s="8">
        <v>27</v>
      </c>
      <c r="F260" s="8" t="s">
        <v>22</v>
      </c>
      <c r="G260" s="8">
        <v>2.76240021</v>
      </c>
      <c r="H260" s="9">
        <v>116.337</v>
      </c>
      <c r="I260" s="5">
        <v>93.6</v>
      </c>
      <c r="J260" s="48" t="s">
        <v>37</v>
      </c>
      <c r="K260" s="12">
        <f t="shared" si="4"/>
        <v>2.0694349802489747</v>
      </c>
    </row>
    <row r="261" spans="1:11" ht="16.5" thickBot="1" x14ac:dyDescent="0.3">
      <c r="A261" s="7" t="s">
        <v>8</v>
      </c>
      <c r="B261" s="49">
        <v>52.013786000000003</v>
      </c>
      <c r="C261" s="8">
        <v>200</v>
      </c>
      <c r="D261" s="8">
        <v>201670</v>
      </c>
      <c r="E261" s="8">
        <v>27</v>
      </c>
      <c r="F261" s="8" t="s">
        <v>22</v>
      </c>
      <c r="G261" s="8">
        <v>2.76240021</v>
      </c>
      <c r="H261" s="9">
        <v>232.673</v>
      </c>
      <c r="I261" s="5">
        <v>86.31</v>
      </c>
      <c r="J261" s="48" t="s">
        <v>37</v>
      </c>
      <c r="K261" s="12">
        <f t="shared" si="4"/>
        <v>2.3686085342645882</v>
      </c>
    </row>
    <row r="262" spans="1:11" ht="16.5" thickBot="1" x14ac:dyDescent="0.3">
      <c r="A262" s="7" t="s">
        <v>8</v>
      </c>
      <c r="B262" s="49">
        <v>52.013786000000003</v>
      </c>
      <c r="C262" s="8">
        <v>300</v>
      </c>
      <c r="D262" s="8">
        <v>201670</v>
      </c>
      <c r="E262" s="8">
        <v>27</v>
      </c>
      <c r="F262" s="8" t="s">
        <v>22</v>
      </c>
      <c r="G262" s="8">
        <v>2.76240021</v>
      </c>
      <c r="H262" s="9">
        <v>349.01</v>
      </c>
      <c r="I262" s="5">
        <v>86.72</v>
      </c>
      <c r="J262" s="48" t="s">
        <v>37</v>
      </c>
      <c r="K262" s="12">
        <f t="shared" si="4"/>
        <v>2.5440804525867846</v>
      </c>
    </row>
    <row r="263" spans="1:11" ht="16.5" thickBot="1" x14ac:dyDescent="0.3">
      <c r="A263" s="7" t="s">
        <v>8</v>
      </c>
      <c r="B263" s="49">
        <v>82.313215999999997</v>
      </c>
      <c r="C263" s="8">
        <v>50</v>
      </c>
      <c r="D263" s="8">
        <v>201670</v>
      </c>
      <c r="E263" s="8">
        <v>27</v>
      </c>
      <c r="F263" s="8" t="s">
        <v>24</v>
      </c>
      <c r="G263" s="8">
        <v>4.37157266</v>
      </c>
      <c r="H263" s="9">
        <v>60.098999999999997</v>
      </c>
      <c r="I263" s="5">
        <v>98.09</v>
      </c>
      <c r="J263" s="48" t="s">
        <v>37</v>
      </c>
      <c r="K263" s="12">
        <f t="shared" si="4"/>
        <v>1.7860341022550599</v>
      </c>
    </row>
    <row r="264" spans="1:11" ht="16.5" thickBot="1" x14ac:dyDescent="0.3">
      <c r="A264" s="7" t="s">
        <v>8</v>
      </c>
      <c r="B264" s="49">
        <v>82.313215999999997</v>
      </c>
      <c r="C264" s="8">
        <v>100</v>
      </c>
      <c r="D264" s="8">
        <v>201670</v>
      </c>
      <c r="E264" s="8">
        <v>27</v>
      </c>
      <c r="F264" s="8" t="s">
        <v>24</v>
      </c>
      <c r="G264" s="8">
        <v>4.37157266</v>
      </c>
      <c r="H264" s="9">
        <v>120.19799999999999</v>
      </c>
      <c r="I264" s="5">
        <v>98</v>
      </c>
      <c r="J264" s="48" t="s">
        <v>37</v>
      </c>
      <c r="K264" s="12">
        <f t="shared" si="4"/>
        <v>2.0834954531955274</v>
      </c>
    </row>
    <row r="265" spans="1:11" ht="16.5" thickBot="1" x14ac:dyDescent="0.3">
      <c r="A265" s="7" t="s">
        <v>8</v>
      </c>
      <c r="B265" s="49">
        <v>82.313215999999997</v>
      </c>
      <c r="C265" s="8">
        <v>200</v>
      </c>
      <c r="D265" s="8">
        <v>201670</v>
      </c>
      <c r="E265" s="8">
        <v>27</v>
      </c>
      <c r="F265" s="8" t="s">
        <v>24</v>
      </c>
      <c r="G265" s="8">
        <v>4.37157266</v>
      </c>
      <c r="H265" s="9">
        <v>240.39500000000001</v>
      </c>
      <c r="I265" s="5">
        <v>89.95</v>
      </c>
      <c r="J265" s="48" t="s">
        <v>37</v>
      </c>
      <c r="K265" s="12">
        <f t="shared" si="4"/>
        <v>2.382728270339217</v>
      </c>
    </row>
    <row r="266" spans="1:11" ht="16.5" thickBot="1" x14ac:dyDescent="0.3">
      <c r="A266" s="7" t="s">
        <v>8</v>
      </c>
      <c r="B266" s="49">
        <v>82.313215999999997</v>
      </c>
      <c r="C266" s="8">
        <v>300</v>
      </c>
      <c r="D266" s="8">
        <v>201670</v>
      </c>
      <c r="E266" s="8">
        <v>27</v>
      </c>
      <c r="F266" s="8" t="s">
        <v>24</v>
      </c>
      <c r="G266" s="8">
        <v>4.37157266</v>
      </c>
      <c r="H266" s="9">
        <v>360.59300000000002</v>
      </c>
      <c r="I266" s="5">
        <v>80.08</v>
      </c>
      <c r="J266" s="48" t="s">
        <v>37</v>
      </c>
      <c r="K266" s="12">
        <f t="shared" si="4"/>
        <v>2.558220014472576</v>
      </c>
    </row>
    <row r="267" spans="1:11" ht="16.5" thickBot="1" x14ac:dyDescent="0.3">
      <c r="A267" s="50" t="s">
        <v>25</v>
      </c>
      <c r="B267" s="22">
        <v>159.57400000000001</v>
      </c>
      <c r="C267" s="40">
        <v>50</v>
      </c>
      <c r="D267" s="51">
        <v>170000</v>
      </c>
      <c r="E267" s="51">
        <v>27</v>
      </c>
      <c r="F267" s="51" t="s">
        <v>26</v>
      </c>
      <c r="G267" s="51">
        <v>9.9700000000000006</v>
      </c>
      <c r="H267" s="41">
        <v>78.846000000000004</v>
      </c>
      <c r="I267" s="5">
        <v>99.08</v>
      </c>
      <c r="J267" s="48" t="s">
        <v>38</v>
      </c>
      <c r="K267" s="12">
        <f t="shared" si="4"/>
        <v>1.9022531644138869</v>
      </c>
    </row>
    <row r="268" spans="1:11" ht="16.5" thickBot="1" x14ac:dyDescent="0.3">
      <c r="A268" s="52" t="s">
        <v>25</v>
      </c>
      <c r="B268" s="27">
        <v>159.57400000000001</v>
      </c>
      <c r="C268" s="8">
        <v>75</v>
      </c>
      <c r="D268" s="53">
        <v>170000</v>
      </c>
      <c r="E268" s="53">
        <v>27</v>
      </c>
      <c r="F268" s="53" t="s">
        <v>26</v>
      </c>
      <c r="G268" s="53">
        <v>9.9700000000000006</v>
      </c>
      <c r="H268" s="44">
        <v>104.23099999999999</v>
      </c>
      <c r="I268" s="5">
        <v>96.896000000000001</v>
      </c>
      <c r="J268" s="43" t="s">
        <v>38</v>
      </c>
      <c r="K268" s="12">
        <f t="shared" si="4"/>
        <v>2.022143697476396</v>
      </c>
    </row>
    <row r="269" spans="1:11" ht="16.5" thickBot="1" x14ac:dyDescent="0.3">
      <c r="A269" s="52" t="s">
        <v>25</v>
      </c>
      <c r="B269" s="27">
        <v>159.57400000000001</v>
      </c>
      <c r="C269" s="8">
        <v>100</v>
      </c>
      <c r="D269" s="53">
        <v>170000</v>
      </c>
      <c r="E269" s="53">
        <v>27</v>
      </c>
      <c r="F269" s="53" t="s">
        <v>26</v>
      </c>
      <c r="G269" s="53">
        <v>9.9700000000000006</v>
      </c>
      <c r="H269" s="44">
        <v>135.38499999999999</v>
      </c>
      <c r="I269" s="5">
        <v>95.287000000000006</v>
      </c>
      <c r="J269" s="43" t="s">
        <v>38</v>
      </c>
      <c r="K269" s="12">
        <f t="shared" si="4"/>
        <v>2.134766608037086</v>
      </c>
    </row>
    <row r="270" spans="1:11" ht="16.5" thickBot="1" x14ac:dyDescent="0.3">
      <c r="A270" s="52" t="s">
        <v>25</v>
      </c>
      <c r="B270" s="27">
        <v>159.57400000000001</v>
      </c>
      <c r="C270" s="8">
        <v>125</v>
      </c>
      <c r="D270" s="53">
        <v>170000</v>
      </c>
      <c r="E270" s="53">
        <v>27</v>
      </c>
      <c r="F270" s="53" t="s">
        <v>26</v>
      </c>
      <c r="G270" s="53">
        <v>9.9700000000000006</v>
      </c>
      <c r="H270" s="44">
        <v>168.84649999999999</v>
      </c>
      <c r="I270" s="5">
        <v>90.575000000000003</v>
      </c>
      <c r="J270" s="43" t="s">
        <v>38</v>
      </c>
      <c r="K270" s="12">
        <f t="shared" si="4"/>
        <v>2.2300566018604591</v>
      </c>
    </row>
    <row r="271" spans="1:11" ht="16.5" thickBot="1" x14ac:dyDescent="0.3">
      <c r="A271" s="52" t="s">
        <v>25</v>
      </c>
      <c r="B271" s="27">
        <v>159.57400000000001</v>
      </c>
      <c r="C271" s="8">
        <v>150</v>
      </c>
      <c r="D271" s="53">
        <v>170000</v>
      </c>
      <c r="E271" s="53">
        <v>27</v>
      </c>
      <c r="F271" s="53" t="s">
        <v>26</v>
      </c>
      <c r="G271" s="53">
        <v>9.9700000000000006</v>
      </c>
      <c r="H271" s="44">
        <v>195</v>
      </c>
      <c r="I271" s="5">
        <v>86.206999999999994</v>
      </c>
      <c r="J271" s="43" t="s">
        <v>38</v>
      </c>
      <c r="K271" s="12">
        <f t="shared" si="4"/>
        <v>2.2922560713564759</v>
      </c>
    </row>
    <row r="272" spans="1:11" ht="16.5" thickBot="1" x14ac:dyDescent="0.3">
      <c r="A272" s="52" t="s">
        <v>27</v>
      </c>
      <c r="B272" s="27">
        <v>65.7</v>
      </c>
      <c r="C272" s="8">
        <v>50</v>
      </c>
      <c r="D272" s="53">
        <v>170000</v>
      </c>
      <c r="E272" s="53">
        <v>27</v>
      </c>
      <c r="F272" s="53" t="s">
        <v>26</v>
      </c>
      <c r="G272" s="27">
        <v>4.1100000000000003</v>
      </c>
      <c r="H272" s="44">
        <v>41.537999999999997</v>
      </c>
      <c r="I272" s="5">
        <v>98.275999999999996</v>
      </c>
      <c r="J272" s="43" t="s">
        <v>38</v>
      </c>
      <c r="K272" s="12">
        <f t="shared" si="4"/>
        <v>1.628777066916437</v>
      </c>
    </row>
    <row r="273" spans="1:11" ht="16.5" thickBot="1" x14ac:dyDescent="0.3">
      <c r="A273" s="52" t="s">
        <v>27</v>
      </c>
      <c r="B273" s="27">
        <v>65.7</v>
      </c>
      <c r="C273" s="8">
        <v>75</v>
      </c>
      <c r="D273" s="53">
        <v>170000</v>
      </c>
      <c r="E273" s="53">
        <v>27</v>
      </c>
      <c r="F273" s="53" t="s">
        <v>26</v>
      </c>
      <c r="G273" s="27">
        <v>4.1100000000000003</v>
      </c>
      <c r="H273" s="44">
        <v>60</v>
      </c>
      <c r="I273" s="5">
        <v>96.091999999999999</v>
      </c>
      <c r="J273" s="43" t="s">
        <v>38</v>
      </c>
      <c r="K273" s="12">
        <f t="shared" si="4"/>
        <v>1.7853298350107671</v>
      </c>
    </row>
    <row r="274" spans="1:11" ht="16.5" thickBot="1" x14ac:dyDescent="0.3">
      <c r="A274" s="52" t="s">
        <v>27</v>
      </c>
      <c r="B274" s="27">
        <v>65.7</v>
      </c>
      <c r="C274" s="8">
        <v>100</v>
      </c>
      <c r="D274" s="53">
        <v>170000</v>
      </c>
      <c r="E274" s="53">
        <v>27</v>
      </c>
      <c r="F274" s="53" t="s">
        <v>26</v>
      </c>
      <c r="G274" s="27">
        <v>4.1100000000000003</v>
      </c>
      <c r="H274" s="44">
        <v>79.614999999999995</v>
      </c>
      <c r="I274" s="5">
        <v>96.896000000000001</v>
      </c>
      <c r="J274" s="43" t="s">
        <v>38</v>
      </c>
      <c r="K274" s="12">
        <f t="shared" si="4"/>
        <v>1.9064158583202704</v>
      </c>
    </row>
    <row r="275" spans="1:11" ht="16.5" thickBot="1" x14ac:dyDescent="0.3">
      <c r="A275" s="52" t="s">
        <v>27</v>
      </c>
      <c r="B275" s="27">
        <v>65.7</v>
      </c>
      <c r="C275" s="8">
        <v>125</v>
      </c>
      <c r="D275" s="53">
        <v>170000</v>
      </c>
      <c r="E275" s="53">
        <v>27</v>
      </c>
      <c r="F275" s="53" t="s">
        <v>26</v>
      </c>
      <c r="G275" s="27">
        <v>4.1100000000000003</v>
      </c>
      <c r="H275" s="44">
        <v>95</v>
      </c>
      <c r="I275" s="5">
        <v>95.747</v>
      </c>
      <c r="J275" s="43" t="s">
        <v>38</v>
      </c>
      <c r="K275" s="12">
        <f t="shared" si="4"/>
        <v>1.9822712330395684</v>
      </c>
    </row>
    <row r="276" spans="1:11" ht="16.5" thickBot="1" x14ac:dyDescent="0.3">
      <c r="A276" s="52" t="s">
        <v>27</v>
      </c>
      <c r="B276" s="27">
        <v>65.7</v>
      </c>
      <c r="C276" s="8">
        <v>150</v>
      </c>
      <c r="D276" s="53">
        <v>170000</v>
      </c>
      <c r="E276" s="53">
        <v>27</v>
      </c>
      <c r="F276" s="53" t="s">
        <v>26</v>
      </c>
      <c r="G276" s="27">
        <v>4.1100000000000003</v>
      </c>
      <c r="H276" s="44">
        <v>111.538</v>
      </c>
      <c r="I276" s="5">
        <v>90.46</v>
      </c>
      <c r="J276" s="43" t="s">
        <v>38</v>
      </c>
      <c r="K276" s="12">
        <f t="shared" si="4"/>
        <v>2.0512991927027975</v>
      </c>
    </row>
    <row r="277" spans="1:11" ht="16.5" thickBot="1" x14ac:dyDescent="0.3">
      <c r="A277" s="52" t="s">
        <v>27</v>
      </c>
      <c r="B277" s="27">
        <v>88.049000000000007</v>
      </c>
      <c r="C277" s="8">
        <v>50</v>
      </c>
      <c r="D277" s="53">
        <v>170000</v>
      </c>
      <c r="E277" s="53">
        <v>27</v>
      </c>
      <c r="F277" s="53" t="s">
        <v>26</v>
      </c>
      <c r="G277" s="27">
        <v>5.5</v>
      </c>
      <c r="H277" s="44">
        <v>69.614999999999995</v>
      </c>
      <c r="I277" s="5">
        <v>94.712999999999994</v>
      </c>
      <c r="J277" s="43" t="s">
        <v>38</v>
      </c>
      <c r="K277" s="12">
        <f t="shared" si="4"/>
        <v>1.8488969634496093</v>
      </c>
    </row>
    <row r="278" spans="1:11" ht="16.5" thickBot="1" x14ac:dyDescent="0.3">
      <c r="A278" s="52" t="s">
        <v>27</v>
      </c>
      <c r="B278" s="27">
        <v>88.049000000000007</v>
      </c>
      <c r="C278" s="8">
        <v>75</v>
      </c>
      <c r="D278" s="53">
        <v>170000</v>
      </c>
      <c r="E278" s="53">
        <v>27</v>
      </c>
      <c r="F278" s="53" t="s">
        <v>26</v>
      </c>
      <c r="G278" s="27">
        <v>5.5</v>
      </c>
      <c r="H278" s="44">
        <v>95.769000000000005</v>
      </c>
      <c r="I278" s="5">
        <v>89.54</v>
      </c>
      <c r="J278" s="43" t="s">
        <v>38</v>
      </c>
      <c r="K278" s="12">
        <f t="shared" si="4"/>
        <v>1.9857362531227638</v>
      </c>
    </row>
    <row r="279" spans="1:11" ht="16.5" thickBot="1" x14ac:dyDescent="0.3">
      <c r="A279" s="52" t="s">
        <v>27</v>
      </c>
      <c r="B279" s="27">
        <v>88.049000000000007</v>
      </c>
      <c r="C279" s="8">
        <v>100</v>
      </c>
      <c r="D279" s="53">
        <v>170000</v>
      </c>
      <c r="E279" s="53">
        <v>27</v>
      </c>
      <c r="F279" s="53" t="s">
        <v>26</v>
      </c>
      <c r="G279" s="27">
        <v>5.5</v>
      </c>
      <c r="H279" s="44">
        <v>130.76900000000001</v>
      </c>
      <c r="I279" s="5">
        <v>82.873000000000005</v>
      </c>
      <c r="J279" s="43" t="s">
        <v>38</v>
      </c>
      <c r="K279" s="12">
        <f t="shared" si="4"/>
        <v>2.1198132500722249</v>
      </c>
    </row>
    <row r="280" spans="1:11" ht="16.5" thickBot="1" x14ac:dyDescent="0.3">
      <c r="A280" s="52" t="s">
        <v>27</v>
      </c>
      <c r="B280" s="27">
        <v>88.049000000000007</v>
      </c>
      <c r="C280" s="8">
        <v>125</v>
      </c>
      <c r="D280" s="53">
        <v>170000</v>
      </c>
      <c r="E280" s="53">
        <v>27</v>
      </c>
      <c r="F280" s="53" t="s">
        <v>26</v>
      </c>
      <c r="G280" s="27">
        <v>5.5</v>
      </c>
      <c r="H280" s="44">
        <v>154.22999999999999</v>
      </c>
      <c r="I280" s="5">
        <v>79.08</v>
      </c>
      <c r="J280" s="43" t="s">
        <v>38</v>
      </c>
      <c r="K280" s="12">
        <f t="shared" si="4"/>
        <v>2.1909756574852444</v>
      </c>
    </row>
    <row r="281" spans="1:11" ht="16.5" thickBot="1" x14ac:dyDescent="0.3">
      <c r="A281" s="52" t="s">
        <v>27</v>
      </c>
      <c r="B281" s="27">
        <v>88.049000000000007</v>
      </c>
      <c r="C281" s="8">
        <v>150</v>
      </c>
      <c r="D281" s="53">
        <v>170000</v>
      </c>
      <c r="E281" s="53">
        <v>27</v>
      </c>
      <c r="F281" s="53" t="s">
        <v>26</v>
      </c>
      <c r="G281" s="27">
        <v>5.5</v>
      </c>
      <c r="H281" s="44">
        <v>191.53800000000001</v>
      </c>
      <c r="I281" s="5">
        <v>63.677999999999997</v>
      </c>
      <c r="J281" s="43" t="s">
        <v>38</v>
      </c>
      <c r="K281" s="12">
        <f t="shared" si="4"/>
        <v>2.2845164562426512</v>
      </c>
    </row>
    <row r="282" spans="1:11" ht="16.5" thickBot="1" x14ac:dyDescent="0.3">
      <c r="A282" s="52" t="s">
        <v>28</v>
      </c>
      <c r="B282" s="27">
        <v>84.617000000000004</v>
      </c>
      <c r="C282" s="8">
        <v>50</v>
      </c>
      <c r="D282" s="53">
        <v>170000</v>
      </c>
      <c r="E282" s="53">
        <v>27</v>
      </c>
      <c r="F282" s="53" t="s">
        <v>26</v>
      </c>
      <c r="G282" s="53">
        <v>5.29</v>
      </c>
      <c r="H282" s="44">
        <v>48.460999999999999</v>
      </c>
      <c r="I282" s="5">
        <v>96.436999999999998</v>
      </c>
      <c r="J282" s="43" t="s">
        <v>38</v>
      </c>
      <c r="K282" s="12">
        <f t="shared" si="4"/>
        <v>1.6942628926579433</v>
      </c>
    </row>
    <row r="283" spans="1:11" ht="16.5" thickBot="1" x14ac:dyDescent="0.3">
      <c r="A283" s="52" t="s">
        <v>28</v>
      </c>
      <c r="B283" s="27">
        <v>84.617000000000004</v>
      </c>
      <c r="C283" s="8">
        <v>75</v>
      </c>
      <c r="D283" s="53">
        <v>170000</v>
      </c>
      <c r="E283" s="53">
        <v>27</v>
      </c>
      <c r="F283" s="53" t="s">
        <v>26</v>
      </c>
      <c r="G283" s="53">
        <v>5.29</v>
      </c>
      <c r="H283" s="44">
        <v>81.153999999999996</v>
      </c>
      <c r="I283" s="5">
        <v>95.287000000000006</v>
      </c>
      <c r="J283" s="43" t="s">
        <v>38</v>
      </c>
      <c r="K283" s="12">
        <f t="shared" si="4"/>
        <v>1.914628713670486</v>
      </c>
    </row>
    <row r="284" spans="1:11" ht="16.5" thickBot="1" x14ac:dyDescent="0.3">
      <c r="A284" s="52" t="s">
        <v>28</v>
      </c>
      <c r="B284" s="27">
        <v>84.617000000000004</v>
      </c>
      <c r="C284" s="8">
        <v>100</v>
      </c>
      <c r="D284" s="53">
        <v>170000</v>
      </c>
      <c r="E284" s="53">
        <v>27</v>
      </c>
      <c r="F284" s="53" t="s">
        <v>26</v>
      </c>
      <c r="G284" s="53">
        <v>5.29</v>
      </c>
      <c r="H284" s="44">
        <v>105</v>
      </c>
      <c r="I284" s="5">
        <v>89.77</v>
      </c>
      <c r="J284" s="43" t="s">
        <v>38</v>
      </c>
      <c r="K284" s="12">
        <f t="shared" si="4"/>
        <v>2.0253058652647704</v>
      </c>
    </row>
    <row r="285" spans="1:11" ht="16.5" thickBot="1" x14ac:dyDescent="0.3">
      <c r="A285" s="52" t="s">
        <v>28</v>
      </c>
      <c r="B285" s="27">
        <v>84.617000000000004</v>
      </c>
      <c r="C285" s="8">
        <v>125</v>
      </c>
      <c r="D285" s="53">
        <v>170000</v>
      </c>
      <c r="E285" s="53">
        <v>27</v>
      </c>
      <c r="F285" s="53" t="s">
        <v>26</v>
      </c>
      <c r="G285" s="53">
        <v>5.29</v>
      </c>
      <c r="H285" s="44">
        <v>128.077</v>
      </c>
      <c r="I285" s="5">
        <v>85.632000000000005</v>
      </c>
      <c r="J285" s="43" t="s">
        <v>38</v>
      </c>
      <c r="K285" s="12">
        <f t="shared" si="4"/>
        <v>2.1108488630025031</v>
      </c>
    </row>
    <row r="286" spans="1:11" ht="16.5" thickBot="1" x14ac:dyDescent="0.3">
      <c r="A286" s="52" t="s">
        <v>28</v>
      </c>
      <c r="B286" s="27">
        <v>84.617000000000004</v>
      </c>
      <c r="C286" s="8">
        <v>150</v>
      </c>
      <c r="D286" s="53">
        <v>170000</v>
      </c>
      <c r="E286" s="53">
        <v>27</v>
      </c>
      <c r="F286" s="53" t="s">
        <v>26</v>
      </c>
      <c r="G286" s="53">
        <v>5.29</v>
      </c>
      <c r="H286" s="44">
        <v>151.923</v>
      </c>
      <c r="I286" s="5">
        <v>78.275999999999996</v>
      </c>
      <c r="J286" s="43" t="s">
        <v>38</v>
      </c>
      <c r="K286" s="12">
        <f t="shared" si="4"/>
        <v>2.1844728092964139</v>
      </c>
    </row>
    <row r="287" spans="1:11" ht="16.5" thickBot="1" x14ac:dyDescent="0.3">
      <c r="A287" s="52" t="s">
        <v>29</v>
      </c>
      <c r="B287" s="27">
        <v>89.888999999999996</v>
      </c>
      <c r="C287" s="8">
        <v>50</v>
      </c>
      <c r="D287" s="53">
        <v>170000</v>
      </c>
      <c r="E287" s="53">
        <v>27</v>
      </c>
      <c r="F287" s="53" t="s">
        <v>26</v>
      </c>
      <c r="G287" s="53">
        <v>5.62</v>
      </c>
      <c r="H287" s="44">
        <v>65.769000000000005</v>
      </c>
      <c r="I287" s="5">
        <v>95.516999999999996</v>
      </c>
      <c r="J287" s="43" t="s">
        <v>38</v>
      </c>
      <c r="K287" s="12">
        <f t="shared" si="4"/>
        <v>1.8245748718492667</v>
      </c>
    </row>
    <row r="288" spans="1:11" ht="16.5" thickBot="1" x14ac:dyDescent="0.3">
      <c r="A288" s="52" t="s">
        <v>29</v>
      </c>
      <c r="B288" s="27">
        <v>89.888999999999996</v>
      </c>
      <c r="C288" s="8">
        <v>75</v>
      </c>
      <c r="D288" s="53">
        <v>170000</v>
      </c>
      <c r="E288" s="53">
        <v>27</v>
      </c>
      <c r="F288" s="53" t="s">
        <v>26</v>
      </c>
      <c r="G288" s="53">
        <v>5.62</v>
      </c>
      <c r="H288" s="44">
        <v>90.769000000000005</v>
      </c>
      <c r="I288" s="5">
        <v>92.183999999999997</v>
      </c>
      <c r="J288" s="43" t="s">
        <v>38</v>
      </c>
      <c r="K288" s="12">
        <f t="shared" si="4"/>
        <v>1.9626959992553041</v>
      </c>
    </row>
    <row r="289" spans="1:11" ht="16.5" thickBot="1" x14ac:dyDescent="0.3">
      <c r="A289" s="52" t="s">
        <v>29</v>
      </c>
      <c r="B289" s="27">
        <v>89.888999999999996</v>
      </c>
      <c r="C289" s="8">
        <v>100</v>
      </c>
      <c r="D289" s="53">
        <v>170000</v>
      </c>
      <c r="E289" s="53">
        <v>27</v>
      </c>
      <c r="F289" s="53" t="s">
        <v>26</v>
      </c>
      <c r="G289" s="53">
        <v>5.62</v>
      </c>
      <c r="H289" s="44">
        <v>122.69199999999999</v>
      </c>
      <c r="I289" s="5">
        <v>86.552000000000007</v>
      </c>
      <c r="J289" s="43" t="s">
        <v>38</v>
      </c>
      <c r="K289" s="12">
        <f t="shared" si="4"/>
        <v>2.09234161176972</v>
      </c>
    </row>
    <row r="290" spans="1:11" ht="16.5" thickBot="1" x14ac:dyDescent="0.3">
      <c r="A290" s="52" t="s">
        <v>29</v>
      </c>
      <c r="B290" s="27">
        <v>89.888999999999996</v>
      </c>
      <c r="C290" s="8">
        <v>125</v>
      </c>
      <c r="D290" s="53">
        <v>170000</v>
      </c>
      <c r="E290" s="53">
        <v>27</v>
      </c>
      <c r="F290" s="53" t="s">
        <v>26</v>
      </c>
      <c r="G290" s="53">
        <v>5.62</v>
      </c>
      <c r="H290" s="44">
        <v>150.76900000000001</v>
      </c>
      <c r="I290" s="5">
        <v>79.885000000000005</v>
      </c>
      <c r="J290" s="43" t="s">
        <v>38</v>
      </c>
      <c r="K290" s="12">
        <f t="shared" si="4"/>
        <v>2.1811830725883161</v>
      </c>
    </row>
    <row r="291" spans="1:11" ht="16.5" thickBot="1" x14ac:dyDescent="0.3">
      <c r="A291" s="52" t="s">
        <v>29</v>
      </c>
      <c r="B291" s="27">
        <v>89.888999999999996</v>
      </c>
      <c r="C291" s="8">
        <v>150</v>
      </c>
      <c r="D291" s="53">
        <v>170000</v>
      </c>
      <c r="E291" s="53">
        <v>27</v>
      </c>
      <c r="F291" s="53" t="s">
        <v>26</v>
      </c>
      <c r="G291" s="53">
        <v>5.62</v>
      </c>
      <c r="H291" s="44">
        <v>174.61500000000001</v>
      </c>
      <c r="I291" s="5">
        <v>71.034000000000006</v>
      </c>
      <c r="J291" s="43" t="s">
        <v>38</v>
      </c>
      <c r="K291" s="12">
        <f t="shared" si="4"/>
        <v>2.2445616080336888</v>
      </c>
    </row>
    <row r="292" spans="1:11" ht="16.5" thickBot="1" x14ac:dyDescent="0.3">
      <c r="A292" s="52" t="s">
        <v>25</v>
      </c>
      <c r="B292" s="27">
        <v>159.57400000000001</v>
      </c>
      <c r="C292" s="8">
        <v>100</v>
      </c>
      <c r="D292" s="53">
        <v>170000</v>
      </c>
      <c r="E292" s="53">
        <v>27</v>
      </c>
      <c r="F292" s="53" t="s">
        <v>10</v>
      </c>
      <c r="G292" s="53">
        <v>9.9700000000000006</v>
      </c>
      <c r="H292" s="44">
        <v>133.59</v>
      </c>
      <c r="I292" s="5">
        <v>95.671999999999997</v>
      </c>
      <c r="J292" s="43" t="s">
        <v>38</v>
      </c>
      <c r="K292" s="12">
        <f t="shared" si="4"/>
        <v>2.129012793126035</v>
      </c>
    </row>
    <row r="293" spans="1:11" ht="16.5" thickBot="1" x14ac:dyDescent="0.3">
      <c r="A293" s="7" t="s">
        <v>8</v>
      </c>
      <c r="B293" s="40">
        <v>37.4</v>
      </c>
      <c r="C293" s="51">
        <v>300</v>
      </c>
      <c r="D293" s="51">
        <v>29000</v>
      </c>
      <c r="E293" s="51">
        <v>27</v>
      </c>
      <c r="F293" s="51" t="s">
        <v>30</v>
      </c>
      <c r="G293" s="40">
        <v>4.16</v>
      </c>
      <c r="H293" s="47">
        <v>2855.46</v>
      </c>
      <c r="I293" s="42">
        <v>33.158000000000001</v>
      </c>
      <c r="J293" s="48" t="s">
        <v>39</v>
      </c>
      <c r="K293" s="12">
        <f t="shared" si="4"/>
        <v>3.4558281468629053</v>
      </c>
    </row>
    <row r="294" spans="1:11" ht="16.5" thickBot="1" x14ac:dyDescent="0.3">
      <c r="A294" s="7" t="s">
        <v>8</v>
      </c>
      <c r="B294" s="8">
        <v>37.4</v>
      </c>
      <c r="C294" s="53">
        <v>200</v>
      </c>
      <c r="D294" s="53">
        <v>29000</v>
      </c>
      <c r="E294" s="53">
        <v>27</v>
      </c>
      <c r="F294" s="53" t="s">
        <v>30</v>
      </c>
      <c r="G294" s="8">
        <v>4.16</v>
      </c>
      <c r="H294" s="9">
        <v>2115.4899999999998</v>
      </c>
      <c r="I294" s="42">
        <v>24.911999999999999</v>
      </c>
      <c r="J294" s="48" t="s">
        <v>39</v>
      </c>
      <c r="K294" s="12">
        <f t="shared" si="4"/>
        <v>3.3256162208586573</v>
      </c>
    </row>
    <row r="295" spans="1:11" ht="16.5" thickBot="1" x14ac:dyDescent="0.3">
      <c r="A295" s="7" t="s">
        <v>8</v>
      </c>
      <c r="B295" s="8">
        <v>37.4</v>
      </c>
      <c r="C295" s="53">
        <v>100</v>
      </c>
      <c r="D295" s="53">
        <v>29000</v>
      </c>
      <c r="E295" s="53">
        <v>27</v>
      </c>
      <c r="F295" s="53" t="s">
        <v>30</v>
      </c>
      <c r="G295" s="8">
        <v>4.16</v>
      </c>
      <c r="H295" s="9">
        <v>1917.1220000000001</v>
      </c>
      <c r="I295" s="10">
        <v>79.491200000000006</v>
      </c>
      <c r="J295" s="48" t="s">
        <v>39</v>
      </c>
      <c r="K295" s="12">
        <f t="shared" si="4"/>
        <v>3.28287622652691</v>
      </c>
    </row>
    <row r="296" spans="1:11" ht="16.5" thickBot="1" x14ac:dyDescent="0.3">
      <c r="A296" s="7" t="s">
        <v>8</v>
      </c>
      <c r="B296" s="8">
        <v>95</v>
      </c>
      <c r="C296" s="53">
        <v>300</v>
      </c>
      <c r="D296" s="53">
        <v>29000</v>
      </c>
      <c r="E296" s="53">
        <v>27</v>
      </c>
      <c r="F296" s="53" t="s">
        <v>30</v>
      </c>
      <c r="G296" s="8">
        <v>10.56</v>
      </c>
      <c r="H296" s="9">
        <v>2542.8510000000001</v>
      </c>
      <c r="I296" s="42">
        <v>16.666</v>
      </c>
      <c r="J296" s="48" t="s">
        <v>39</v>
      </c>
      <c r="K296" s="12">
        <f t="shared" si="4"/>
        <v>3.4054916699587348</v>
      </c>
    </row>
    <row r="297" spans="1:11" ht="16.5" thickBot="1" x14ac:dyDescent="0.3">
      <c r="A297" s="7" t="s">
        <v>8</v>
      </c>
      <c r="B297" s="8">
        <v>95</v>
      </c>
      <c r="C297" s="53">
        <v>200</v>
      </c>
      <c r="D297" s="53">
        <v>29000</v>
      </c>
      <c r="E297" s="53">
        <v>27</v>
      </c>
      <c r="F297" s="53" t="s">
        <v>30</v>
      </c>
      <c r="G297" s="8">
        <v>10.56</v>
      </c>
      <c r="H297" s="9">
        <v>1580.329</v>
      </c>
      <c r="I297" s="42">
        <v>16.841999999999999</v>
      </c>
      <c r="J297" s="48" t="s">
        <v>39</v>
      </c>
      <c r="K297" s="12">
        <f t="shared" si="4"/>
        <v>3.1990222355362063</v>
      </c>
    </row>
    <row r="298" spans="1:11" ht="16.5" thickBot="1" x14ac:dyDescent="0.3">
      <c r="A298" s="7" t="s">
        <v>8</v>
      </c>
      <c r="B298" s="8">
        <v>95</v>
      </c>
      <c r="C298" s="53">
        <v>100</v>
      </c>
      <c r="D298" s="53">
        <v>29000</v>
      </c>
      <c r="E298" s="53">
        <v>27</v>
      </c>
      <c r="F298" s="53" t="s">
        <v>30</v>
      </c>
      <c r="G298" s="8">
        <v>10.56</v>
      </c>
      <c r="H298" s="9">
        <v>1409.6389999999999</v>
      </c>
      <c r="I298" s="42">
        <v>25.263000000000002</v>
      </c>
      <c r="J298" s="48" t="s">
        <v>39</v>
      </c>
      <c r="K298" s="12">
        <f t="shared" si="4"/>
        <v>3.1494158866336761</v>
      </c>
    </row>
    <row r="299" spans="1:11" ht="16.5" thickBot="1" x14ac:dyDescent="0.3">
      <c r="A299" s="7" t="s">
        <v>8</v>
      </c>
      <c r="B299" s="40">
        <v>52.81</v>
      </c>
      <c r="C299" s="40">
        <v>10</v>
      </c>
      <c r="D299" s="51">
        <v>33000</v>
      </c>
      <c r="E299" s="51">
        <v>25</v>
      </c>
      <c r="F299" s="51" t="s">
        <v>10</v>
      </c>
      <c r="G299" s="40">
        <v>6.01</v>
      </c>
      <c r="H299" s="47">
        <v>6.6680000000000001</v>
      </c>
      <c r="I299" s="25">
        <v>90.6</v>
      </c>
      <c r="J299" s="48" t="s">
        <v>40</v>
      </c>
      <c r="K299" s="12">
        <f t="shared" si="4"/>
        <v>0.884682104206025</v>
      </c>
    </row>
    <row r="300" spans="1:11" ht="16.5" thickBot="1" x14ac:dyDescent="0.3">
      <c r="A300" s="7" t="s">
        <v>8</v>
      </c>
      <c r="B300" s="8">
        <v>52.81</v>
      </c>
      <c r="C300" s="8">
        <v>50</v>
      </c>
      <c r="D300" s="53">
        <v>33000</v>
      </c>
      <c r="E300" s="53">
        <v>25</v>
      </c>
      <c r="F300" s="51" t="s">
        <v>10</v>
      </c>
      <c r="G300" s="8">
        <v>6.01</v>
      </c>
      <c r="H300" s="9">
        <v>36.67</v>
      </c>
      <c r="I300" s="25">
        <v>84.3</v>
      </c>
      <c r="J300" s="48" t="s">
        <v>40</v>
      </c>
      <c r="K300" s="12">
        <f t="shared" si="4"/>
        <v>1.5759956202032677</v>
      </c>
    </row>
    <row r="301" spans="1:11" ht="16.5" thickBot="1" x14ac:dyDescent="0.3">
      <c r="A301" s="7" t="s">
        <v>8</v>
      </c>
      <c r="B301" s="8">
        <v>52.81</v>
      </c>
      <c r="C301" s="8">
        <v>100</v>
      </c>
      <c r="D301" s="53">
        <v>33000</v>
      </c>
      <c r="E301" s="53">
        <v>25</v>
      </c>
      <c r="F301" s="51" t="s">
        <v>10</v>
      </c>
      <c r="G301" s="8">
        <v>6.01</v>
      </c>
      <c r="H301" s="9">
        <v>56.67</v>
      </c>
      <c r="I301" s="25">
        <v>71.7</v>
      </c>
      <c r="J301" s="48" t="s">
        <v>40</v>
      </c>
      <c r="K301" s="12">
        <f t="shared" si="4"/>
        <v>1.7609499514108973</v>
      </c>
    </row>
    <row r="302" spans="1:11" ht="16.5" thickBot="1" x14ac:dyDescent="0.3">
      <c r="A302" s="7" t="s">
        <v>8</v>
      </c>
      <c r="B302" s="8">
        <v>52.81</v>
      </c>
      <c r="C302" s="8">
        <v>200</v>
      </c>
      <c r="D302" s="53">
        <v>33000</v>
      </c>
      <c r="E302" s="53">
        <v>25</v>
      </c>
      <c r="F302" s="51" t="s">
        <v>10</v>
      </c>
      <c r="G302" s="8">
        <v>6.01</v>
      </c>
      <c r="H302" s="9">
        <v>136.66999999999999</v>
      </c>
      <c r="I302" s="25">
        <v>39.799999999999997</v>
      </c>
      <c r="J302" s="48" t="s">
        <v>40</v>
      </c>
      <c r="K302" s="12">
        <f t="shared" si="4"/>
        <v>2.1388393124143219</v>
      </c>
    </row>
    <row r="303" spans="1:11" ht="16.5" thickBot="1" x14ac:dyDescent="0.3">
      <c r="A303" s="7" t="s">
        <v>8</v>
      </c>
      <c r="B303" s="8">
        <v>52.81</v>
      </c>
      <c r="C303" s="8">
        <v>10</v>
      </c>
      <c r="D303" s="53">
        <v>33000</v>
      </c>
      <c r="E303" s="53">
        <v>25</v>
      </c>
      <c r="F303" s="53" t="s">
        <v>9</v>
      </c>
      <c r="G303" s="8">
        <v>6.01</v>
      </c>
      <c r="H303" s="9">
        <v>6.68</v>
      </c>
      <c r="I303" s="25">
        <v>93.8</v>
      </c>
      <c r="J303" s="48" t="s">
        <v>40</v>
      </c>
      <c r="K303" s="12">
        <f t="shared" si="4"/>
        <v>0.88536122003151196</v>
      </c>
    </row>
    <row r="304" spans="1:11" ht="16.5" thickBot="1" x14ac:dyDescent="0.3">
      <c r="A304" s="7" t="s">
        <v>8</v>
      </c>
      <c r="B304" s="8">
        <v>52.81</v>
      </c>
      <c r="C304" s="8">
        <v>50</v>
      </c>
      <c r="D304" s="53">
        <v>33000</v>
      </c>
      <c r="E304" s="53">
        <v>25</v>
      </c>
      <c r="F304" s="53" t="s">
        <v>9</v>
      </c>
      <c r="G304" s="8">
        <v>6.01</v>
      </c>
      <c r="H304" s="9">
        <v>15</v>
      </c>
      <c r="I304" s="25">
        <v>93.8</v>
      </c>
      <c r="J304" s="48" t="s">
        <v>40</v>
      </c>
      <c r="K304" s="12">
        <f t="shared" si="4"/>
        <v>1.2041199826559248</v>
      </c>
    </row>
    <row r="305" spans="1:11" ht="16.5" thickBot="1" x14ac:dyDescent="0.3">
      <c r="A305" s="7" t="s">
        <v>8</v>
      </c>
      <c r="B305" s="8">
        <v>52.81</v>
      </c>
      <c r="C305" s="8">
        <v>100</v>
      </c>
      <c r="D305" s="53">
        <v>33000</v>
      </c>
      <c r="E305" s="53">
        <v>25</v>
      </c>
      <c r="F305" s="53" t="s">
        <v>9</v>
      </c>
      <c r="G305" s="8">
        <v>6.01</v>
      </c>
      <c r="H305" s="9">
        <v>46.665999999999997</v>
      </c>
      <c r="I305" s="25">
        <v>61.9</v>
      </c>
      <c r="J305" s="48" t="s">
        <v>40</v>
      </c>
      <c r="K305" s="12">
        <f t="shared" si="4"/>
        <v>1.6782087086542252</v>
      </c>
    </row>
    <row r="306" spans="1:11" ht="16.5" thickBot="1" x14ac:dyDescent="0.3">
      <c r="A306" s="7" t="s">
        <v>8</v>
      </c>
      <c r="B306" s="8">
        <v>52.81</v>
      </c>
      <c r="C306" s="8">
        <v>200</v>
      </c>
      <c r="D306" s="53">
        <v>33000</v>
      </c>
      <c r="E306" s="53">
        <v>25</v>
      </c>
      <c r="F306" s="53" t="s">
        <v>9</v>
      </c>
      <c r="G306" s="8">
        <v>6.01</v>
      </c>
      <c r="H306" s="9">
        <v>106.666</v>
      </c>
      <c r="I306" s="25">
        <v>46.85</v>
      </c>
      <c r="J306" s="48" t="s">
        <v>40</v>
      </c>
      <c r="K306" s="12">
        <f t="shared" si="4"/>
        <v>2.0320785784731958</v>
      </c>
    </row>
    <row r="307" spans="1:11" ht="16.5" thickBot="1" x14ac:dyDescent="0.3">
      <c r="A307" s="7" t="s">
        <v>8</v>
      </c>
      <c r="B307" s="8">
        <v>24.63</v>
      </c>
      <c r="C307" s="8">
        <v>10</v>
      </c>
      <c r="D307" s="53">
        <v>33000</v>
      </c>
      <c r="E307" s="53">
        <v>25</v>
      </c>
      <c r="F307" s="53" t="s">
        <v>10</v>
      </c>
      <c r="G307" s="8">
        <v>2.8</v>
      </c>
      <c r="H307" s="9">
        <v>2.15</v>
      </c>
      <c r="I307" s="25">
        <v>100</v>
      </c>
      <c r="J307" s="48" t="s">
        <v>40</v>
      </c>
      <c r="K307" s="12">
        <f t="shared" si="4"/>
        <v>0.49831055378960049</v>
      </c>
    </row>
    <row r="308" spans="1:11" ht="16.5" thickBot="1" x14ac:dyDescent="0.3">
      <c r="A308" s="7" t="s">
        <v>8</v>
      </c>
      <c r="B308" s="8">
        <v>24.63</v>
      </c>
      <c r="C308" s="8">
        <v>50</v>
      </c>
      <c r="D308" s="53">
        <v>33000</v>
      </c>
      <c r="E308" s="53">
        <v>25</v>
      </c>
      <c r="F308" s="53" t="s">
        <v>10</v>
      </c>
      <c r="G308" s="8">
        <v>2.8</v>
      </c>
      <c r="H308" s="9">
        <v>11.22</v>
      </c>
      <c r="I308" s="25">
        <v>100</v>
      </c>
      <c r="J308" s="48" t="s">
        <v>40</v>
      </c>
      <c r="K308" s="12">
        <f t="shared" si="4"/>
        <v>1.0870712059065355</v>
      </c>
    </row>
    <row r="309" spans="1:11" ht="16.5" thickBot="1" x14ac:dyDescent="0.3">
      <c r="A309" s="7" t="s">
        <v>8</v>
      </c>
      <c r="B309" s="8">
        <v>24.63</v>
      </c>
      <c r="C309" s="8">
        <v>100</v>
      </c>
      <c r="D309" s="53">
        <v>33000</v>
      </c>
      <c r="E309" s="53">
        <v>25</v>
      </c>
      <c r="F309" s="53" t="s">
        <v>10</v>
      </c>
      <c r="G309" s="8">
        <v>2.8</v>
      </c>
      <c r="H309" s="9">
        <v>13.170999999999999</v>
      </c>
      <c r="I309" s="25">
        <v>100</v>
      </c>
      <c r="J309" s="48" t="s">
        <v>40</v>
      </c>
      <c r="K309" s="12">
        <f t="shared" si="4"/>
        <v>1.1514004980356176</v>
      </c>
    </row>
    <row r="310" spans="1:11" ht="16.5" thickBot="1" x14ac:dyDescent="0.3">
      <c r="A310" s="7" t="s">
        <v>8</v>
      </c>
      <c r="B310" s="8">
        <v>24.63</v>
      </c>
      <c r="C310" s="8">
        <v>200</v>
      </c>
      <c r="D310" s="53">
        <v>33000</v>
      </c>
      <c r="E310" s="53">
        <v>25</v>
      </c>
      <c r="F310" s="53" t="s">
        <v>10</v>
      </c>
      <c r="G310" s="8">
        <v>2.8</v>
      </c>
      <c r="H310" s="9">
        <v>33.658000000000001</v>
      </c>
      <c r="I310" s="25">
        <v>100</v>
      </c>
      <c r="J310" s="48" t="s">
        <v>40</v>
      </c>
      <c r="K310" s="12">
        <f t="shared" si="4"/>
        <v>1.5398034973846773</v>
      </c>
    </row>
    <row r="311" spans="1:11" ht="16.5" thickBot="1" x14ac:dyDescent="0.3">
      <c r="A311" s="7" t="s">
        <v>8</v>
      </c>
      <c r="B311" s="8">
        <v>34.21</v>
      </c>
      <c r="C311" s="8">
        <v>10</v>
      </c>
      <c r="D311" s="53">
        <v>33000</v>
      </c>
      <c r="E311" s="53">
        <v>25</v>
      </c>
      <c r="F311" s="53" t="s">
        <v>9</v>
      </c>
      <c r="G311" s="8">
        <v>3.89</v>
      </c>
      <c r="H311" s="9">
        <v>2.8570000000000002</v>
      </c>
      <c r="I311" s="25">
        <v>100</v>
      </c>
      <c r="J311" s="48" t="s">
        <v>40</v>
      </c>
      <c r="K311" s="12">
        <f t="shared" si="4"/>
        <v>0.58624963886604187</v>
      </c>
    </row>
    <row r="312" spans="1:11" ht="16.5" thickBot="1" x14ac:dyDescent="0.3">
      <c r="A312" s="7" t="s">
        <v>8</v>
      </c>
      <c r="B312" s="8">
        <v>34.21</v>
      </c>
      <c r="C312" s="8">
        <v>50</v>
      </c>
      <c r="D312" s="53">
        <v>33000</v>
      </c>
      <c r="E312" s="53">
        <v>25</v>
      </c>
      <c r="F312" s="53" t="s">
        <v>9</v>
      </c>
      <c r="G312" s="8">
        <v>3.89</v>
      </c>
      <c r="H312" s="9">
        <v>7.0730000000000004</v>
      </c>
      <c r="I312" s="25">
        <v>100</v>
      </c>
      <c r="J312" s="48" t="s">
        <v>40</v>
      </c>
      <c r="K312" s="12">
        <f t="shared" si="4"/>
        <v>0.90703495248341703</v>
      </c>
    </row>
    <row r="313" spans="1:11" ht="16.5" thickBot="1" x14ac:dyDescent="0.3">
      <c r="A313" s="7" t="s">
        <v>8</v>
      </c>
      <c r="B313" s="8">
        <v>34.21</v>
      </c>
      <c r="C313" s="8">
        <v>100</v>
      </c>
      <c r="D313" s="53">
        <v>33000</v>
      </c>
      <c r="E313" s="53">
        <v>25</v>
      </c>
      <c r="F313" s="53" t="s">
        <v>9</v>
      </c>
      <c r="G313" s="8">
        <v>3.89</v>
      </c>
      <c r="H313" s="9">
        <v>15.61</v>
      </c>
      <c r="I313" s="25">
        <v>100</v>
      </c>
      <c r="J313" s="48" t="s">
        <v>40</v>
      </c>
      <c r="K313" s="12">
        <f t="shared" si="4"/>
        <v>1.2203696324513944</v>
      </c>
    </row>
    <row r="314" spans="1:11" ht="16.5" thickBot="1" x14ac:dyDescent="0.3">
      <c r="A314" s="7" t="s">
        <v>8</v>
      </c>
      <c r="B314" s="8">
        <v>34.21</v>
      </c>
      <c r="C314" s="8">
        <v>200</v>
      </c>
      <c r="D314" s="53">
        <v>33000</v>
      </c>
      <c r="E314" s="53">
        <v>25</v>
      </c>
      <c r="F314" s="53" t="s">
        <v>9</v>
      </c>
      <c r="G314" s="8">
        <v>3.89</v>
      </c>
      <c r="H314" s="9">
        <v>31.7</v>
      </c>
      <c r="I314" s="25">
        <v>100</v>
      </c>
      <c r="J314" s="48" t="s">
        <v>40</v>
      </c>
      <c r="K314" s="12">
        <f t="shared" si="4"/>
        <v>1.5145477526602862</v>
      </c>
    </row>
    <row r="315" spans="1:11" ht="16.5" thickBot="1" x14ac:dyDescent="0.3">
      <c r="A315" s="7" t="s">
        <v>8</v>
      </c>
      <c r="B315" s="8">
        <v>11.34</v>
      </c>
      <c r="C315" s="8">
        <v>10</v>
      </c>
      <c r="D315" s="53">
        <v>33000</v>
      </c>
      <c r="E315" s="53">
        <v>25</v>
      </c>
      <c r="F315" s="53" t="s">
        <v>10</v>
      </c>
      <c r="G315" s="8">
        <v>1.29</v>
      </c>
      <c r="H315" s="9">
        <v>2.1880000000000002</v>
      </c>
      <c r="I315" s="25">
        <v>100</v>
      </c>
      <c r="J315" s="48" t="s">
        <v>40</v>
      </c>
      <c r="K315" s="12">
        <f t="shared" si="4"/>
        <v>0.50351831272407477</v>
      </c>
    </row>
    <row r="316" spans="1:11" ht="16.5" thickBot="1" x14ac:dyDescent="0.3">
      <c r="A316" s="7" t="s">
        <v>8</v>
      </c>
      <c r="B316" s="8">
        <v>11.34</v>
      </c>
      <c r="C316" s="8">
        <v>50</v>
      </c>
      <c r="D316" s="53">
        <v>33000</v>
      </c>
      <c r="E316" s="53">
        <v>25</v>
      </c>
      <c r="F316" s="53" t="s">
        <v>10</v>
      </c>
      <c r="G316" s="8">
        <v>1.29</v>
      </c>
      <c r="H316" s="9">
        <v>3.125</v>
      </c>
      <c r="I316" s="25">
        <v>100</v>
      </c>
      <c r="J316" s="48" t="s">
        <v>40</v>
      </c>
      <c r="K316" s="12">
        <f t="shared" si="4"/>
        <v>0.61542395288594387</v>
      </c>
    </row>
    <row r="317" spans="1:11" ht="16.5" thickBot="1" x14ac:dyDescent="0.3">
      <c r="A317" s="7" t="s">
        <v>8</v>
      </c>
      <c r="B317" s="8">
        <v>11.34</v>
      </c>
      <c r="C317" s="8">
        <v>100</v>
      </c>
      <c r="D317" s="53">
        <v>33000</v>
      </c>
      <c r="E317" s="53">
        <v>25</v>
      </c>
      <c r="F317" s="53" t="s">
        <v>10</v>
      </c>
      <c r="G317" s="8">
        <v>1.29</v>
      </c>
      <c r="H317" s="9">
        <v>7.9669999999999996</v>
      </c>
      <c r="I317" s="25">
        <v>100</v>
      </c>
      <c r="J317" s="48" t="s">
        <v>40</v>
      </c>
      <c r="K317" s="12">
        <f t="shared" si="4"/>
        <v>0.95264716975894304</v>
      </c>
    </row>
    <row r="318" spans="1:11" ht="16.5" thickBot="1" x14ac:dyDescent="0.3">
      <c r="A318" s="7" t="s">
        <v>8</v>
      </c>
      <c r="B318" s="8">
        <v>11.34</v>
      </c>
      <c r="C318" s="8">
        <v>200</v>
      </c>
      <c r="D318" s="53">
        <v>33000</v>
      </c>
      <c r="E318" s="53">
        <v>25</v>
      </c>
      <c r="F318" s="53" t="s">
        <v>10</v>
      </c>
      <c r="G318" s="8">
        <v>1.29</v>
      </c>
      <c r="H318" s="9">
        <v>16.457999999999998</v>
      </c>
      <c r="I318" s="25">
        <v>100</v>
      </c>
      <c r="J318" s="48" t="s">
        <v>40</v>
      </c>
      <c r="K318" s="12">
        <f t="shared" si="4"/>
        <v>1.2419944891567807</v>
      </c>
    </row>
    <row r="319" spans="1:11" ht="16.5" thickBot="1" x14ac:dyDescent="0.3">
      <c r="A319" s="7" t="s">
        <v>8</v>
      </c>
      <c r="B319" s="8">
        <v>16.62</v>
      </c>
      <c r="C319" s="8">
        <v>10</v>
      </c>
      <c r="D319" s="53">
        <v>33000</v>
      </c>
      <c r="E319" s="53">
        <v>25</v>
      </c>
      <c r="F319" s="53" t="s">
        <v>9</v>
      </c>
      <c r="G319" s="8">
        <v>1.89</v>
      </c>
      <c r="H319" s="9">
        <v>2.5</v>
      </c>
      <c r="I319" s="25">
        <v>100</v>
      </c>
      <c r="J319" s="48" t="s">
        <v>40</v>
      </c>
      <c r="K319" s="12">
        <f t="shared" si="4"/>
        <v>0.54406804435027567</v>
      </c>
    </row>
    <row r="320" spans="1:11" ht="16.5" thickBot="1" x14ac:dyDescent="0.3">
      <c r="A320" s="7" t="s">
        <v>8</v>
      </c>
      <c r="B320" s="8">
        <v>16.62</v>
      </c>
      <c r="C320" s="8">
        <v>50</v>
      </c>
      <c r="D320" s="53">
        <v>33000</v>
      </c>
      <c r="E320" s="53">
        <v>25</v>
      </c>
      <c r="F320" s="53" t="s">
        <v>9</v>
      </c>
      <c r="G320" s="8">
        <v>1.89</v>
      </c>
      <c r="H320" s="9">
        <v>5.3129999999999997</v>
      </c>
      <c r="I320" s="25">
        <v>100</v>
      </c>
      <c r="J320" s="48" t="s">
        <v>40</v>
      </c>
      <c r="K320" s="12">
        <f t="shared" si="4"/>
        <v>0.80023578932735384</v>
      </c>
    </row>
    <row r="321" spans="1:11" ht="16.5" thickBot="1" x14ac:dyDescent="0.3">
      <c r="A321" s="7" t="s">
        <v>8</v>
      </c>
      <c r="B321" s="8">
        <v>16.62</v>
      </c>
      <c r="C321" s="8">
        <v>100</v>
      </c>
      <c r="D321" s="53">
        <v>33000</v>
      </c>
      <c r="E321" s="53">
        <v>25</v>
      </c>
      <c r="F321" s="53" t="s">
        <v>9</v>
      </c>
      <c r="G321" s="8">
        <v>1.89</v>
      </c>
      <c r="H321" s="9">
        <v>12.968999999999999</v>
      </c>
      <c r="I321" s="25">
        <v>100</v>
      </c>
      <c r="J321" s="48" t="s">
        <v>40</v>
      </c>
      <c r="K321" s="12">
        <f t="shared" si="4"/>
        <v>1.1451653173506551</v>
      </c>
    </row>
    <row r="322" spans="1:11" ht="16.5" thickBot="1" x14ac:dyDescent="0.3">
      <c r="A322" s="7" t="s">
        <v>8</v>
      </c>
      <c r="B322" s="54">
        <v>16.62</v>
      </c>
      <c r="C322" s="54">
        <v>200</v>
      </c>
      <c r="D322" s="55">
        <v>33000</v>
      </c>
      <c r="E322" s="55">
        <v>25</v>
      </c>
      <c r="F322" s="55" t="s">
        <v>9</v>
      </c>
      <c r="G322" s="54">
        <v>1.89</v>
      </c>
      <c r="H322" s="56">
        <v>23.646000000000001</v>
      </c>
      <c r="I322" s="25">
        <v>100</v>
      </c>
      <c r="J322" s="57" t="s">
        <v>40</v>
      </c>
      <c r="K322" s="12">
        <f t="shared" si="4"/>
        <v>1.39174644414508</v>
      </c>
    </row>
    <row r="323" spans="1:11" ht="15.75" x14ac:dyDescent="0.25">
      <c r="A323" s="13" t="s">
        <v>11</v>
      </c>
      <c r="B323" s="13">
        <v>2.9814814814814801</v>
      </c>
      <c r="C323" s="58">
        <v>100</v>
      </c>
      <c r="D323" s="59">
        <v>170000</v>
      </c>
      <c r="E323" s="59">
        <v>27</v>
      </c>
      <c r="F323" s="59" t="s">
        <v>26</v>
      </c>
      <c r="G323" s="13">
        <v>0.186342592592593</v>
      </c>
      <c r="H323" s="60">
        <v>0.01</v>
      </c>
      <c r="I323" s="61">
        <v>100</v>
      </c>
      <c r="J323" s="48" t="s">
        <v>41</v>
      </c>
      <c r="K323" s="12">
        <f t="shared" ref="K323:K386" si="5">LOG(H323+1)</f>
        <v>4.3213737826425782E-3</v>
      </c>
    </row>
    <row r="324" spans="1:11" ht="15.75" x14ac:dyDescent="0.25">
      <c r="A324" s="13" t="s">
        <v>11</v>
      </c>
      <c r="B324" s="13">
        <v>3.0061728395061702</v>
      </c>
      <c r="C324" s="58">
        <v>100</v>
      </c>
      <c r="D324" s="59">
        <v>170000</v>
      </c>
      <c r="E324" s="59">
        <v>27</v>
      </c>
      <c r="F324" s="59" t="s">
        <v>26</v>
      </c>
      <c r="G324" s="13">
        <v>0.187885802469136</v>
      </c>
      <c r="H324" s="60">
        <v>0.01</v>
      </c>
      <c r="I324" s="61">
        <v>100</v>
      </c>
      <c r="J324" s="48" t="s">
        <v>41</v>
      </c>
      <c r="K324" s="12">
        <f t="shared" si="5"/>
        <v>4.3213737826425782E-3</v>
      </c>
    </row>
    <row r="325" spans="1:11" ht="15.75" x14ac:dyDescent="0.25">
      <c r="A325" s="13" t="s">
        <v>11</v>
      </c>
      <c r="B325" s="13">
        <v>10.1234567901235</v>
      </c>
      <c r="C325" s="58">
        <v>100</v>
      </c>
      <c r="D325" s="59">
        <v>170000</v>
      </c>
      <c r="E325" s="59">
        <v>27</v>
      </c>
      <c r="F325" s="59" t="s">
        <v>26</v>
      </c>
      <c r="G325" s="13">
        <v>0.63271604938271597</v>
      </c>
      <c r="H325" s="60">
        <v>3.3534651269384299</v>
      </c>
      <c r="I325" s="61">
        <v>99.912100000000009</v>
      </c>
      <c r="J325" s="48" t="s">
        <v>41</v>
      </c>
      <c r="K325" s="12">
        <f t="shared" si="5"/>
        <v>0.63883506993050809</v>
      </c>
    </row>
    <row r="326" spans="1:11" ht="15.75" x14ac:dyDescent="0.25">
      <c r="A326" s="13" t="s">
        <v>11</v>
      </c>
      <c r="B326" s="13">
        <v>10.3086419753086</v>
      </c>
      <c r="C326" s="58">
        <v>100</v>
      </c>
      <c r="D326" s="59">
        <v>170000</v>
      </c>
      <c r="E326" s="59">
        <v>27</v>
      </c>
      <c r="F326" s="59" t="s">
        <v>26</v>
      </c>
      <c r="G326" s="13">
        <v>0.64429012345679004</v>
      </c>
      <c r="H326" s="60">
        <v>3.3464635717703599</v>
      </c>
      <c r="I326" s="61">
        <v>99.845500000000001</v>
      </c>
      <c r="J326" s="48" t="s">
        <v>41</v>
      </c>
      <c r="K326" s="12">
        <f t="shared" si="5"/>
        <v>0.63813604410259395</v>
      </c>
    </row>
    <row r="327" spans="1:11" ht="15.75" x14ac:dyDescent="0.25">
      <c r="A327" s="13" t="s">
        <v>11</v>
      </c>
      <c r="B327" s="13">
        <v>12.6913580246914</v>
      </c>
      <c r="C327" s="58">
        <v>100</v>
      </c>
      <c r="D327" s="59">
        <v>170000</v>
      </c>
      <c r="E327" s="59">
        <v>27</v>
      </c>
      <c r="F327" s="59" t="s">
        <v>26</v>
      </c>
      <c r="G327" s="13">
        <v>0.79320987654320996</v>
      </c>
      <c r="H327" s="60">
        <v>4.8627711428321696</v>
      </c>
      <c r="I327" s="61">
        <v>99.724999999999994</v>
      </c>
      <c r="J327" s="48" t="s">
        <v>41</v>
      </c>
      <c r="K327" s="12">
        <f t="shared" si="5"/>
        <v>0.76810294154195025</v>
      </c>
    </row>
    <row r="328" spans="1:11" ht="15.75" x14ac:dyDescent="0.25">
      <c r="A328" s="13" t="s">
        <v>11</v>
      </c>
      <c r="B328" s="13">
        <v>12.8765432098765</v>
      </c>
      <c r="C328" s="58">
        <v>100</v>
      </c>
      <c r="D328" s="59">
        <v>170000</v>
      </c>
      <c r="E328" s="59">
        <v>27</v>
      </c>
      <c r="F328" s="59" t="s">
        <v>26</v>
      </c>
      <c r="G328" s="13">
        <v>0.80478395061728403</v>
      </c>
      <c r="H328" s="60">
        <v>4.8129508720339498</v>
      </c>
      <c r="I328" s="61">
        <v>99.548000000000002</v>
      </c>
      <c r="J328" s="48" t="s">
        <v>41</v>
      </c>
      <c r="K328" s="12">
        <f t="shared" si="5"/>
        <v>0.76439665254614853</v>
      </c>
    </row>
    <row r="329" spans="1:11" ht="15.75" x14ac:dyDescent="0.25">
      <c r="A329" s="13" t="s">
        <v>11</v>
      </c>
      <c r="B329" s="13">
        <v>14.1358024691358</v>
      </c>
      <c r="C329" s="58">
        <v>100</v>
      </c>
      <c r="D329" s="59">
        <v>170000</v>
      </c>
      <c r="E329" s="59">
        <v>27</v>
      </c>
      <c r="F329" s="59" t="s">
        <v>26</v>
      </c>
      <c r="G329" s="13">
        <v>0.88348765432098797</v>
      </c>
      <c r="H329" s="60">
        <v>8.5594492608442092</v>
      </c>
      <c r="I329" s="61">
        <v>99.157899999999998</v>
      </c>
      <c r="J329" s="48" t="s">
        <v>41</v>
      </c>
      <c r="K329" s="12">
        <f t="shared" si="5"/>
        <v>0.98043287241562904</v>
      </c>
    </row>
    <row r="330" spans="1:11" ht="15.75" x14ac:dyDescent="0.25">
      <c r="A330" s="13" t="s">
        <v>11</v>
      </c>
      <c r="B330" s="13">
        <v>14.320987654321</v>
      </c>
      <c r="C330" s="58">
        <v>100</v>
      </c>
      <c r="D330" s="59">
        <v>170000</v>
      </c>
      <c r="E330" s="59">
        <v>27</v>
      </c>
      <c r="F330" s="59" t="s">
        <v>26</v>
      </c>
      <c r="G330" s="13">
        <v>0.89506172839506204</v>
      </c>
      <c r="H330" s="60">
        <v>8.5286922043612208</v>
      </c>
      <c r="I330" s="61">
        <v>99.014499999999998</v>
      </c>
      <c r="J330" s="48" t="s">
        <v>41</v>
      </c>
      <c r="K330" s="12">
        <f t="shared" si="5"/>
        <v>0.97903329860223909</v>
      </c>
    </row>
    <row r="331" spans="1:11" ht="15.75" x14ac:dyDescent="0.25">
      <c r="A331" s="13" t="s">
        <v>11</v>
      </c>
      <c r="B331" s="13">
        <v>15.839506172839499</v>
      </c>
      <c r="C331" s="58">
        <v>100</v>
      </c>
      <c r="D331" s="59">
        <v>170000</v>
      </c>
      <c r="E331" s="59">
        <v>27</v>
      </c>
      <c r="F331" s="59" t="s">
        <v>26</v>
      </c>
      <c r="G331" s="13">
        <v>0.98996913580246904</v>
      </c>
      <c r="H331" s="60">
        <v>8.0148087378019994</v>
      </c>
      <c r="I331" s="61">
        <v>98.998850000000004</v>
      </c>
      <c r="J331" s="48" t="s">
        <v>41</v>
      </c>
      <c r="K331" s="12">
        <f t="shared" si="5"/>
        <v>0.95495651697097261</v>
      </c>
    </row>
    <row r="332" spans="1:11" ht="15.75" x14ac:dyDescent="0.25">
      <c r="A332" s="13" t="s">
        <v>11</v>
      </c>
      <c r="B332" s="13">
        <v>17.209876543209901</v>
      </c>
      <c r="C332" s="58">
        <v>100</v>
      </c>
      <c r="D332" s="59">
        <v>170000</v>
      </c>
      <c r="E332" s="59">
        <v>27</v>
      </c>
      <c r="F332" s="59" t="s">
        <v>26</v>
      </c>
      <c r="G332" s="13">
        <v>1.07561728395062</v>
      </c>
      <c r="H332" s="60">
        <v>10.208781229420399</v>
      </c>
      <c r="I332" s="61">
        <v>98.998249999999999</v>
      </c>
      <c r="J332" s="48" t="s">
        <v>41</v>
      </c>
      <c r="K332" s="12">
        <f t="shared" si="5"/>
        <v>1.0495583927811456</v>
      </c>
    </row>
    <row r="333" spans="1:11" ht="15.75" x14ac:dyDescent="0.25">
      <c r="A333" s="13" t="s">
        <v>11</v>
      </c>
      <c r="B333" s="13">
        <v>17.2469135802469</v>
      </c>
      <c r="C333" s="58">
        <v>100</v>
      </c>
      <c r="D333" s="59">
        <v>170000</v>
      </c>
      <c r="E333" s="59">
        <v>27</v>
      </c>
      <c r="F333" s="59" t="s">
        <v>26</v>
      </c>
      <c r="G333" s="13">
        <v>1.0779320987654299</v>
      </c>
      <c r="H333" s="60">
        <v>10.204191865499</v>
      </c>
      <c r="I333" s="61">
        <v>98.997820000000004</v>
      </c>
      <c r="J333" s="48" t="s">
        <v>41</v>
      </c>
      <c r="K333" s="12">
        <f t="shared" si="5"/>
        <v>1.049380537264528</v>
      </c>
    </row>
    <row r="334" spans="1:11" ht="15.75" x14ac:dyDescent="0.25">
      <c r="A334" s="13" t="s">
        <v>11</v>
      </c>
      <c r="B334" s="13">
        <v>18.839506172839499</v>
      </c>
      <c r="C334" s="58">
        <v>100</v>
      </c>
      <c r="D334" s="59">
        <v>170000</v>
      </c>
      <c r="E334" s="59">
        <v>27</v>
      </c>
      <c r="F334" s="59" t="s">
        <v>26</v>
      </c>
      <c r="G334" s="13">
        <v>1.17746913580247</v>
      </c>
      <c r="H334" s="60">
        <v>12.1364033612273</v>
      </c>
      <c r="I334" s="61">
        <v>98.955115000000006</v>
      </c>
      <c r="J334" s="48" t="s">
        <v>41</v>
      </c>
      <c r="K334" s="12">
        <f t="shared" si="5"/>
        <v>1.1184764752554002</v>
      </c>
    </row>
    <row r="335" spans="1:11" ht="15.75" x14ac:dyDescent="0.25">
      <c r="A335" s="13" t="s">
        <v>11</v>
      </c>
      <c r="B335" s="13">
        <v>18.901234567901199</v>
      </c>
      <c r="C335" s="58">
        <v>100</v>
      </c>
      <c r="D335" s="59">
        <v>170000</v>
      </c>
      <c r="E335" s="59">
        <v>27</v>
      </c>
      <c r="F335" s="59" t="s">
        <v>26</v>
      </c>
      <c r="G335" s="13">
        <v>1.18132716049383</v>
      </c>
      <c r="H335" s="60">
        <v>12.035816444419</v>
      </c>
      <c r="I335" s="61">
        <v>98.894758199999998</v>
      </c>
      <c r="J335" s="48" t="s">
        <v>41</v>
      </c>
      <c r="K335" s="12">
        <f t="shared" si="5"/>
        <v>1.1151382365938742</v>
      </c>
    </row>
    <row r="336" spans="1:11" ht="15.75" x14ac:dyDescent="0.25">
      <c r="A336" s="13" t="s">
        <v>11</v>
      </c>
      <c r="B336" s="13">
        <v>21.395061728395099</v>
      </c>
      <c r="C336" s="58">
        <v>100</v>
      </c>
      <c r="D336" s="59">
        <v>170000</v>
      </c>
      <c r="E336" s="59">
        <v>27</v>
      </c>
      <c r="F336" s="59" t="s">
        <v>26</v>
      </c>
      <c r="G336" s="13">
        <v>1.3371913580246899</v>
      </c>
      <c r="H336" s="60">
        <v>13.3773874538076</v>
      </c>
      <c r="I336" s="61">
        <v>98.895758199999989</v>
      </c>
      <c r="J336" s="48" t="s">
        <v>41</v>
      </c>
      <c r="K336" s="12">
        <f t="shared" si="5"/>
        <v>1.1576799766257615</v>
      </c>
    </row>
    <row r="337" spans="1:11" ht="15.75" x14ac:dyDescent="0.25">
      <c r="A337" s="13" t="s">
        <v>11</v>
      </c>
      <c r="B337" s="13">
        <v>21.592592592592599</v>
      </c>
      <c r="C337" s="58">
        <v>100</v>
      </c>
      <c r="D337" s="59">
        <v>170000</v>
      </c>
      <c r="E337" s="59">
        <v>27</v>
      </c>
      <c r="F337" s="59" t="s">
        <v>26</v>
      </c>
      <c r="G337" s="13">
        <v>1.3495370370370401</v>
      </c>
      <c r="H337" s="60">
        <v>13.2566862492301</v>
      </c>
      <c r="I337" s="61">
        <v>98.896758200000008</v>
      </c>
      <c r="J337" s="48" t="s">
        <v>41</v>
      </c>
      <c r="K337" s="12">
        <f t="shared" si="5"/>
        <v>1.1540185920716401</v>
      </c>
    </row>
    <row r="338" spans="1:11" ht="15.75" x14ac:dyDescent="0.25">
      <c r="A338" s="13" t="s">
        <v>11</v>
      </c>
      <c r="B338" s="13">
        <v>23.950617283950599</v>
      </c>
      <c r="C338" s="58">
        <v>100</v>
      </c>
      <c r="D338" s="59">
        <v>170000</v>
      </c>
      <c r="E338" s="59">
        <v>27</v>
      </c>
      <c r="F338" s="59" t="s">
        <v>26</v>
      </c>
      <c r="G338" s="13">
        <v>1.49691358024691</v>
      </c>
      <c r="H338" s="60">
        <v>13.8618618778572</v>
      </c>
      <c r="I338" s="61">
        <v>98.894758199999998</v>
      </c>
      <c r="J338" s="48" t="s">
        <v>41</v>
      </c>
      <c r="K338" s="12">
        <f t="shared" si="5"/>
        <v>1.1720732207722533</v>
      </c>
    </row>
    <row r="339" spans="1:11" ht="15.75" x14ac:dyDescent="0.25">
      <c r="A339" s="13" t="s">
        <v>11</v>
      </c>
      <c r="B339" s="13">
        <v>24.283950617283899</v>
      </c>
      <c r="C339" s="58">
        <v>100</v>
      </c>
      <c r="D339" s="59">
        <v>170000</v>
      </c>
      <c r="E339" s="59">
        <v>27</v>
      </c>
      <c r="F339" s="59" t="s">
        <v>26</v>
      </c>
      <c r="G339" s="13">
        <v>1.5177469135802499</v>
      </c>
      <c r="H339" s="60">
        <v>13.8445580624537</v>
      </c>
      <c r="I339" s="61">
        <v>98.854758200000006</v>
      </c>
      <c r="J339" s="48" t="s">
        <v>41</v>
      </c>
      <c r="K339" s="12">
        <f t="shared" si="5"/>
        <v>1.1715672727374076</v>
      </c>
    </row>
    <row r="340" spans="1:11" ht="15.75" x14ac:dyDescent="0.25">
      <c r="A340" s="13" t="s">
        <v>11</v>
      </c>
      <c r="B340" s="13">
        <v>27.012345679012299</v>
      </c>
      <c r="C340" s="58">
        <v>100</v>
      </c>
      <c r="D340" s="59">
        <v>170000</v>
      </c>
      <c r="E340" s="59">
        <v>27</v>
      </c>
      <c r="F340" s="59" t="s">
        <v>26</v>
      </c>
      <c r="G340" s="13">
        <v>1.68827160493827</v>
      </c>
      <c r="H340" s="60">
        <v>18.7335714556326</v>
      </c>
      <c r="I340" s="61">
        <v>98.853999999999999</v>
      </c>
      <c r="J340" s="48" t="s">
        <v>41</v>
      </c>
      <c r="K340" s="12">
        <f t="shared" si="5"/>
        <v>1.2952056926068032</v>
      </c>
    </row>
    <row r="341" spans="1:11" ht="15.75" x14ac:dyDescent="0.25">
      <c r="A341" s="13" t="s">
        <v>11</v>
      </c>
      <c r="B341" s="13">
        <v>27.049382716049401</v>
      </c>
      <c r="C341" s="58">
        <v>100</v>
      </c>
      <c r="D341" s="59">
        <v>170000</v>
      </c>
      <c r="E341" s="59">
        <v>27</v>
      </c>
      <c r="F341" s="59" t="s">
        <v>26</v>
      </c>
      <c r="G341" s="13">
        <v>1.69058641975309</v>
      </c>
      <c r="H341" s="60">
        <v>18.479215215088601</v>
      </c>
      <c r="I341" s="61">
        <v>98.755400000000009</v>
      </c>
      <c r="J341" s="48" t="s">
        <v>41</v>
      </c>
      <c r="K341" s="12">
        <f t="shared" si="5"/>
        <v>1.2895714558987519</v>
      </c>
    </row>
    <row r="342" spans="1:11" ht="15.75" x14ac:dyDescent="0.25">
      <c r="A342" s="13" t="s">
        <v>11</v>
      </c>
      <c r="B342" s="13">
        <v>27.148148148148099</v>
      </c>
      <c r="C342" s="58">
        <v>100</v>
      </c>
      <c r="D342" s="59">
        <v>170000</v>
      </c>
      <c r="E342" s="59">
        <v>27</v>
      </c>
      <c r="F342" s="59" t="s">
        <v>26</v>
      </c>
      <c r="G342" s="13">
        <v>1.69675925925926</v>
      </c>
      <c r="H342" s="60">
        <v>18.6740636459912</v>
      </c>
      <c r="I342" s="61">
        <v>98.565539999999999</v>
      </c>
      <c r="J342" s="48" t="s">
        <v>41</v>
      </c>
      <c r="K342" s="12">
        <f t="shared" si="5"/>
        <v>1.2938940720066565</v>
      </c>
    </row>
    <row r="343" spans="1:11" ht="15.75" x14ac:dyDescent="0.25">
      <c r="A343" s="13" t="s">
        <v>11</v>
      </c>
      <c r="B343" s="13">
        <v>29.617283950617299</v>
      </c>
      <c r="C343" s="58">
        <v>100</v>
      </c>
      <c r="D343" s="59">
        <v>170000</v>
      </c>
      <c r="E343" s="59">
        <v>27</v>
      </c>
      <c r="F343" s="59" t="s">
        <v>26</v>
      </c>
      <c r="G343" s="13">
        <v>1.8510802469135801</v>
      </c>
      <c r="H343" s="60">
        <v>19.6845099829786</v>
      </c>
      <c r="I343" s="61">
        <v>98.186999999999998</v>
      </c>
      <c r="J343" s="48" t="s">
        <v>41</v>
      </c>
      <c r="K343" s="12">
        <f t="shared" si="5"/>
        <v>1.3156452368965457</v>
      </c>
    </row>
    <row r="344" spans="1:11" ht="15.75" x14ac:dyDescent="0.25">
      <c r="A344" s="13" t="s">
        <v>11</v>
      </c>
      <c r="B344" s="13">
        <v>29.716049382716101</v>
      </c>
      <c r="C344" s="58">
        <v>100</v>
      </c>
      <c r="D344" s="59">
        <v>170000</v>
      </c>
      <c r="E344" s="59">
        <v>27</v>
      </c>
      <c r="F344" s="59" t="s">
        <v>26</v>
      </c>
      <c r="G344" s="13">
        <v>1.8572530864197501</v>
      </c>
      <c r="H344" s="60">
        <v>19.942052441514299</v>
      </c>
      <c r="I344" s="61">
        <v>98.186999999999998</v>
      </c>
      <c r="J344" s="48" t="s">
        <v>41</v>
      </c>
      <c r="K344" s="12">
        <f t="shared" si="5"/>
        <v>1.3210192427842402</v>
      </c>
    </row>
    <row r="345" spans="1:11" ht="15.75" x14ac:dyDescent="0.25">
      <c r="A345" s="13" t="s">
        <v>11</v>
      </c>
      <c r="B345" s="13">
        <v>31.148148148148099</v>
      </c>
      <c r="C345" s="58">
        <v>100</v>
      </c>
      <c r="D345" s="59">
        <v>170000</v>
      </c>
      <c r="E345" s="59">
        <v>27</v>
      </c>
      <c r="F345" s="59" t="s">
        <v>26</v>
      </c>
      <c r="G345" s="13">
        <v>1.94675925925926</v>
      </c>
      <c r="H345" s="60">
        <v>28.6749511485271</v>
      </c>
      <c r="I345" s="61">
        <v>97.969892000000002</v>
      </c>
      <c r="J345" s="48" t="s">
        <v>41</v>
      </c>
      <c r="K345" s="12">
        <f t="shared" si="5"/>
        <v>1.4723900126833238</v>
      </c>
    </row>
    <row r="346" spans="1:11" ht="15.75" x14ac:dyDescent="0.25">
      <c r="A346" s="13" t="s">
        <v>11</v>
      </c>
      <c r="B346" s="13">
        <v>31.876543209876498</v>
      </c>
      <c r="C346" s="58">
        <v>100</v>
      </c>
      <c r="D346" s="59">
        <v>170000</v>
      </c>
      <c r="E346" s="59">
        <v>27</v>
      </c>
      <c r="F346" s="59" t="s">
        <v>26</v>
      </c>
      <c r="G346" s="13">
        <v>1.99228395061728</v>
      </c>
      <c r="H346" s="60">
        <v>28.354636870327699</v>
      </c>
      <c r="I346" s="61">
        <v>97.964892000000006</v>
      </c>
      <c r="J346" s="48" t="s">
        <v>41</v>
      </c>
      <c r="K346" s="12">
        <f t="shared" si="5"/>
        <v>1.4676767123345875</v>
      </c>
    </row>
    <row r="347" spans="1:11" ht="15.75" x14ac:dyDescent="0.25">
      <c r="A347" s="13" t="s">
        <v>11</v>
      </c>
      <c r="B347" s="13">
        <v>32.074074074074097</v>
      </c>
      <c r="C347" s="58">
        <v>100</v>
      </c>
      <c r="D347" s="59">
        <v>170000</v>
      </c>
      <c r="E347" s="59">
        <v>27</v>
      </c>
      <c r="F347" s="59" t="s">
        <v>26</v>
      </c>
      <c r="G347" s="13">
        <v>2.0046296296296302</v>
      </c>
      <c r="H347" s="60">
        <v>28.532057520485999</v>
      </c>
      <c r="I347" s="61">
        <v>97.964892000000006</v>
      </c>
      <c r="J347" s="48" t="s">
        <v>41</v>
      </c>
      <c r="K347" s="12">
        <f t="shared" si="5"/>
        <v>1.4702937056398131</v>
      </c>
    </row>
    <row r="348" spans="1:11" ht="15.75" x14ac:dyDescent="0.25">
      <c r="A348" s="13" t="s">
        <v>11</v>
      </c>
      <c r="B348" s="13">
        <v>35.135802469135797</v>
      </c>
      <c r="C348" s="58">
        <v>100</v>
      </c>
      <c r="D348" s="59">
        <v>170000</v>
      </c>
      <c r="E348" s="59">
        <v>27</v>
      </c>
      <c r="F348" s="59" t="s">
        <v>26</v>
      </c>
      <c r="G348" s="13">
        <v>2.19598765432099</v>
      </c>
      <c r="H348" s="60">
        <v>31.253110759206301</v>
      </c>
      <c r="I348" s="61">
        <v>97.964892000000006</v>
      </c>
      <c r="J348" s="48" t="s">
        <v>41</v>
      </c>
      <c r="K348" s="12">
        <f t="shared" si="5"/>
        <v>1.5085716079761105</v>
      </c>
    </row>
    <row r="349" spans="1:11" ht="15.75" x14ac:dyDescent="0.25">
      <c r="A349" s="13" t="s">
        <v>11</v>
      </c>
      <c r="B349" s="13">
        <v>36.024691358024697</v>
      </c>
      <c r="C349" s="58">
        <v>100</v>
      </c>
      <c r="D349" s="59">
        <v>170000</v>
      </c>
      <c r="E349" s="59">
        <v>27</v>
      </c>
      <c r="F349" s="59" t="s">
        <v>26</v>
      </c>
      <c r="G349" s="13">
        <v>2.25154320987654</v>
      </c>
      <c r="H349" s="60">
        <v>31.225180037257001</v>
      </c>
      <c r="I349" s="61">
        <v>97.964892000000006</v>
      </c>
      <c r="J349" s="48" t="s">
        <v>41</v>
      </c>
      <c r="K349" s="12">
        <f t="shared" si="5"/>
        <v>1.5081953523704783</v>
      </c>
    </row>
    <row r="350" spans="1:11" ht="15.75" x14ac:dyDescent="0.25">
      <c r="A350" s="13" t="s">
        <v>11</v>
      </c>
      <c r="B350" s="13">
        <v>36.839506172839499</v>
      </c>
      <c r="C350" s="58">
        <v>100</v>
      </c>
      <c r="D350" s="59">
        <v>170000</v>
      </c>
      <c r="E350" s="59">
        <v>27</v>
      </c>
      <c r="F350" s="59" t="s">
        <v>26</v>
      </c>
      <c r="G350" s="13">
        <v>2.30246913580247</v>
      </c>
      <c r="H350" s="60">
        <v>31.659625822934299</v>
      </c>
      <c r="I350" s="61">
        <v>97.964892000000006</v>
      </c>
      <c r="J350" s="48" t="s">
        <v>41</v>
      </c>
      <c r="K350" s="12">
        <f t="shared" si="5"/>
        <v>1.5140112047740182</v>
      </c>
    </row>
    <row r="351" spans="1:11" ht="15.75" x14ac:dyDescent="0.25">
      <c r="A351" s="13" t="s">
        <v>11</v>
      </c>
      <c r="B351" s="13">
        <v>38.469135802469097</v>
      </c>
      <c r="C351" s="58">
        <v>100</v>
      </c>
      <c r="D351" s="59">
        <v>170000</v>
      </c>
      <c r="E351" s="59">
        <v>27</v>
      </c>
      <c r="F351" s="59" t="s">
        <v>26</v>
      </c>
      <c r="G351" s="13">
        <v>2.4043209876543199</v>
      </c>
      <c r="H351" s="60">
        <v>33.061152652831801</v>
      </c>
      <c r="I351" s="61">
        <v>97.956600000000009</v>
      </c>
      <c r="J351" s="48" t="s">
        <v>41</v>
      </c>
      <c r="K351" s="12">
        <f t="shared" si="5"/>
        <v>1.5322593406992229</v>
      </c>
    </row>
    <row r="352" spans="1:11" ht="15.75" x14ac:dyDescent="0.25">
      <c r="A352" s="13" t="s">
        <v>11</v>
      </c>
      <c r="B352" s="13">
        <v>38.839506172839499</v>
      </c>
      <c r="C352" s="58">
        <v>100</v>
      </c>
      <c r="D352" s="59">
        <v>170000</v>
      </c>
      <c r="E352" s="59">
        <v>27</v>
      </c>
      <c r="F352" s="59" t="s">
        <v>26</v>
      </c>
      <c r="G352" s="13">
        <v>2.42746913580247</v>
      </c>
      <c r="H352" s="60">
        <v>38.779501841156701</v>
      </c>
      <c r="I352" s="61">
        <v>97.868725449999999</v>
      </c>
      <c r="J352" s="48" t="s">
        <v>41</v>
      </c>
      <c r="K352" s="12">
        <f t="shared" si="5"/>
        <v>1.5996593401511263</v>
      </c>
    </row>
    <row r="353" spans="1:11" ht="15.75" x14ac:dyDescent="0.25">
      <c r="A353" s="13" t="s">
        <v>11</v>
      </c>
      <c r="B353" s="13">
        <v>38.851851851851798</v>
      </c>
      <c r="C353" s="58">
        <v>100</v>
      </c>
      <c r="D353" s="59">
        <v>170000</v>
      </c>
      <c r="E353" s="59">
        <v>27</v>
      </c>
      <c r="F353" s="59" t="s">
        <v>26</v>
      </c>
      <c r="G353" s="13">
        <v>2.42824074074074</v>
      </c>
      <c r="H353" s="60">
        <v>38.563475488249402</v>
      </c>
      <c r="I353" s="61">
        <v>97.868624999999994</v>
      </c>
      <c r="J353" s="48" t="s">
        <v>41</v>
      </c>
      <c r="K353" s="12">
        <f t="shared" si="5"/>
        <v>1.5972944355811087</v>
      </c>
    </row>
    <row r="354" spans="1:11" ht="15.75" x14ac:dyDescent="0.25">
      <c r="A354" s="13" t="s">
        <v>11</v>
      </c>
      <c r="B354" s="13">
        <v>41.864197530864203</v>
      </c>
      <c r="C354" s="58">
        <v>100</v>
      </c>
      <c r="D354" s="59">
        <v>170000</v>
      </c>
      <c r="E354" s="59">
        <v>27</v>
      </c>
      <c r="F354" s="59" t="s">
        <v>26</v>
      </c>
      <c r="G354" s="13">
        <v>2.61651234567901</v>
      </c>
      <c r="H354" s="60">
        <v>41.245065133145999</v>
      </c>
      <c r="I354" s="61">
        <v>97.852615499999999</v>
      </c>
      <c r="J354" s="48" t="s">
        <v>41</v>
      </c>
      <c r="K354" s="12">
        <f t="shared" si="5"/>
        <v>1.6257759840403361</v>
      </c>
    </row>
    <row r="355" spans="1:11" ht="15.75" x14ac:dyDescent="0.25">
      <c r="A355" s="13" t="s">
        <v>11</v>
      </c>
      <c r="B355" s="13">
        <v>43.283950617283899</v>
      </c>
      <c r="C355" s="58">
        <v>100</v>
      </c>
      <c r="D355" s="59">
        <v>170000</v>
      </c>
      <c r="E355" s="59">
        <v>27</v>
      </c>
      <c r="F355" s="59" t="s">
        <v>26</v>
      </c>
      <c r="G355" s="13">
        <v>2.7052469135802499</v>
      </c>
      <c r="H355" s="60">
        <v>42.258030475290902</v>
      </c>
      <c r="I355" s="61">
        <v>97.789099999999991</v>
      </c>
      <c r="J355" s="48" t="s">
        <v>41</v>
      </c>
      <c r="K355" s="12">
        <f t="shared" si="5"/>
        <v>1.63606674226015</v>
      </c>
    </row>
    <row r="356" spans="1:11" ht="15.75" x14ac:dyDescent="0.25">
      <c r="A356" s="13" t="s">
        <v>11</v>
      </c>
      <c r="B356" s="13">
        <v>43.419753086419803</v>
      </c>
      <c r="C356" s="58">
        <v>100</v>
      </c>
      <c r="D356" s="59">
        <v>170000</v>
      </c>
      <c r="E356" s="59">
        <v>27</v>
      </c>
      <c r="F356" s="59" t="s">
        <v>26</v>
      </c>
      <c r="G356" s="13">
        <v>2.7137345679012301</v>
      </c>
      <c r="H356" s="60">
        <v>42.100554380146697</v>
      </c>
      <c r="I356" s="61">
        <v>97.787999999999997</v>
      </c>
      <c r="J356" s="48" t="s">
        <v>41</v>
      </c>
      <c r="K356" s="12">
        <f t="shared" si="5"/>
        <v>1.6344828563020348</v>
      </c>
    </row>
    <row r="357" spans="1:11" ht="15.75" x14ac:dyDescent="0.25">
      <c r="A357" s="13" t="s">
        <v>11</v>
      </c>
      <c r="B357" s="13">
        <v>45.641975308642003</v>
      </c>
      <c r="C357" s="58">
        <v>100</v>
      </c>
      <c r="D357" s="59">
        <v>170000</v>
      </c>
      <c r="E357" s="59">
        <v>27</v>
      </c>
      <c r="F357" s="59" t="s">
        <v>26</v>
      </c>
      <c r="G357" s="13">
        <v>2.8526234567901199</v>
      </c>
      <c r="H357" s="60">
        <v>47.834045785290698</v>
      </c>
      <c r="I357" s="61">
        <v>97.784999999999997</v>
      </c>
      <c r="J357" s="48" t="s">
        <v>41</v>
      </c>
      <c r="K357" s="12">
        <f t="shared" si="5"/>
        <v>1.6887227060461649</v>
      </c>
    </row>
    <row r="358" spans="1:11" ht="15.75" x14ac:dyDescent="0.25">
      <c r="A358" s="13" t="s">
        <v>11</v>
      </c>
      <c r="B358" s="13">
        <v>46.370370370370402</v>
      </c>
      <c r="C358" s="58">
        <v>100</v>
      </c>
      <c r="D358" s="59">
        <v>170000</v>
      </c>
      <c r="E358" s="59">
        <v>27</v>
      </c>
      <c r="F358" s="59" t="s">
        <v>26</v>
      </c>
      <c r="G358" s="13">
        <v>2.8981481481481501</v>
      </c>
      <c r="H358" s="60">
        <v>47.8992363862871</v>
      </c>
      <c r="I358" s="61">
        <v>97.780999999999992</v>
      </c>
      <c r="J358" s="48" t="s">
        <v>41</v>
      </c>
      <c r="K358" s="12">
        <f t="shared" si="5"/>
        <v>1.6893020772051905</v>
      </c>
    </row>
    <row r="359" spans="1:11" ht="15.75" x14ac:dyDescent="0.25">
      <c r="A359" s="13" t="s">
        <v>11</v>
      </c>
      <c r="B359" s="13">
        <v>46.567901234567898</v>
      </c>
      <c r="C359" s="58">
        <v>100</v>
      </c>
      <c r="D359" s="59">
        <v>170000</v>
      </c>
      <c r="E359" s="59">
        <v>27</v>
      </c>
      <c r="F359" s="59" t="s">
        <v>26</v>
      </c>
      <c r="G359" s="13">
        <v>2.9104938271604901</v>
      </c>
      <c r="H359" s="60">
        <v>47.966454413645302</v>
      </c>
      <c r="I359" s="61">
        <v>97.78</v>
      </c>
      <c r="J359" s="48" t="s">
        <v>41</v>
      </c>
      <c r="K359" s="12">
        <f t="shared" si="5"/>
        <v>1.6898986585549562</v>
      </c>
    </row>
    <row r="360" spans="1:11" ht="15.75" x14ac:dyDescent="0.25">
      <c r="A360" s="13" t="s">
        <v>11</v>
      </c>
      <c r="B360" s="13">
        <v>46.6666666666667</v>
      </c>
      <c r="C360" s="58">
        <v>100</v>
      </c>
      <c r="D360" s="59">
        <v>170000</v>
      </c>
      <c r="E360" s="59">
        <v>27</v>
      </c>
      <c r="F360" s="59" t="s">
        <v>26</v>
      </c>
      <c r="G360" s="13">
        <v>2.9166666666666701</v>
      </c>
      <c r="H360" s="60">
        <v>47.001659051710398</v>
      </c>
      <c r="I360" s="61">
        <v>97.707646110916414</v>
      </c>
      <c r="J360" s="48" t="s">
        <v>41</v>
      </c>
      <c r="K360" s="12">
        <f t="shared" si="5"/>
        <v>1.6812562478870765</v>
      </c>
    </row>
    <row r="361" spans="1:11" ht="15.75" x14ac:dyDescent="0.25">
      <c r="A361" s="13" t="s">
        <v>11</v>
      </c>
      <c r="B361" s="13">
        <v>46.716049382716101</v>
      </c>
      <c r="C361" s="58">
        <v>100</v>
      </c>
      <c r="D361" s="59">
        <v>170000</v>
      </c>
      <c r="E361" s="59">
        <v>27</v>
      </c>
      <c r="F361" s="59" t="s">
        <v>26</v>
      </c>
      <c r="G361" s="13">
        <v>2.9197530864197501</v>
      </c>
      <c r="H361" s="60">
        <v>47.041139764141001</v>
      </c>
      <c r="I361" s="61">
        <v>97.367783511619891</v>
      </c>
      <c r="J361" s="48" t="s">
        <v>41</v>
      </c>
      <c r="K361" s="12">
        <f t="shared" si="5"/>
        <v>1.681613302382102</v>
      </c>
    </row>
    <row r="362" spans="1:11" ht="15.75" x14ac:dyDescent="0.25">
      <c r="A362" s="13" t="s">
        <v>11</v>
      </c>
      <c r="B362" s="13">
        <v>53.358024691357997</v>
      </c>
      <c r="C362" s="58">
        <v>100</v>
      </c>
      <c r="D362" s="59">
        <v>170000</v>
      </c>
      <c r="E362" s="59">
        <v>27</v>
      </c>
      <c r="F362" s="59" t="s">
        <v>26</v>
      </c>
      <c r="G362" s="13">
        <v>3.3348765432098801</v>
      </c>
      <c r="H362" s="60">
        <v>56.735043541866901</v>
      </c>
      <c r="I362" s="61">
        <v>97.3505968094331</v>
      </c>
      <c r="J362" s="48" t="s">
        <v>41</v>
      </c>
      <c r="K362" s="12">
        <f t="shared" si="5"/>
        <v>1.7614394976809797</v>
      </c>
    </row>
    <row r="363" spans="1:11" ht="15.75" x14ac:dyDescent="0.25">
      <c r="A363" s="13" t="s">
        <v>11</v>
      </c>
      <c r="B363" s="13">
        <v>63.148148148148202</v>
      </c>
      <c r="C363" s="58">
        <v>100</v>
      </c>
      <c r="D363" s="59">
        <v>170000</v>
      </c>
      <c r="E363" s="59">
        <v>27</v>
      </c>
      <c r="F363" s="59" t="s">
        <v>26</v>
      </c>
      <c r="G363" s="13">
        <v>3.94675925925926</v>
      </c>
      <c r="H363" s="60">
        <v>72.744222917237707</v>
      </c>
      <c r="I363" s="61">
        <v>94.810595399882303</v>
      </c>
      <c r="J363" s="48" t="s">
        <v>41</v>
      </c>
      <c r="K363" s="12">
        <f t="shared" si="5"/>
        <v>1.8677280035866386</v>
      </c>
    </row>
    <row r="364" spans="1:11" ht="15.75" x14ac:dyDescent="0.25">
      <c r="A364" s="13" t="s">
        <v>11</v>
      </c>
      <c r="B364" s="13">
        <v>65.703703703703695</v>
      </c>
      <c r="C364" s="58">
        <v>100</v>
      </c>
      <c r="D364" s="59">
        <v>170000</v>
      </c>
      <c r="E364" s="59">
        <v>27</v>
      </c>
      <c r="F364" s="59" t="s">
        <v>26</v>
      </c>
      <c r="G364" s="13">
        <v>4.1064814814814801</v>
      </c>
      <c r="H364" s="60">
        <v>82.614448330022199</v>
      </c>
      <c r="I364" s="61">
        <v>93.884760507099259</v>
      </c>
      <c r="J364" s="48" t="s">
        <v>41</v>
      </c>
      <c r="K364" s="12">
        <f t="shared" si="5"/>
        <v>1.9222813287288976</v>
      </c>
    </row>
    <row r="365" spans="1:11" ht="15.75" x14ac:dyDescent="0.25">
      <c r="A365" s="13" t="s">
        <v>11</v>
      </c>
      <c r="B365" s="13">
        <v>65.740740740740705</v>
      </c>
      <c r="C365" s="58">
        <v>100</v>
      </c>
      <c r="D365" s="59">
        <v>170000</v>
      </c>
      <c r="E365" s="59">
        <v>27</v>
      </c>
      <c r="F365" s="59" t="s">
        <v>26</v>
      </c>
      <c r="G365" s="13">
        <v>4.1087962962963003</v>
      </c>
      <c r="H365" s="60">
        <v>82.092995290151094</v>
      </c>
      <c r="I365" s="61">
        <v>93.918583408604633</v>
      </c>
      <c r="J365" s="48" t="s">
        <v>41</v>
      </c>
      <c r="K365" s="12">
        <f t="shared" si="5"/>
        <v>1.9195644144573316</v>
      </c>
    </row>
    <row r="366" spans="1:11" ht="15.75" x14ac:dyDescent="0.25">
      <c r="A366" s="13" t="s">
        <v>11</v>
      </c>
      <c r="B366" s="13">
        <v>72.8888888888889</v>
      </c>
      <c r="C366" s="58">
        <v>100</v>
      </c>
      <c r="D366" s="59">
        <v>170000</v>
      </c>
      <c r="E366" s="59">
        <v>27</v>
      </c>
      <c r="F366" s="59" t="s">
        <v>26</v>
      </c>
      <c r="G366" s="13">
        <v>4.5555555555555598</v>
      </c>
      <c r="H366" s="60">
        <v>91.157403277222997</v>
      </c>
      <c r="I366" s="61">
        <v>92.891899589736425</v>
      </c>
      <c r="J366" s="48" t="s">
        <v>41</v>
      </c>
      <c r="K366" s="12">
        <f t="shared" si="5"/>
        <v>1.9645302291188378</v>
      </c>
    </row>
    <row r="367" spans="1:11" ht="15.75" x14ac:dyDescent="0.25">
      <c r="A367" s="13" t="s">
        <v>11</v>
      </c>
      <c r="B367" s="13">
        <v>73.024691358024697</v>
      </c>
      <c r="C367" s="58">
        <v>100</v>
      </c>
      <c r="D367" s="59">
        <v>170000</v>
      </c>
      <c r="E367" s="59">
        <v>27</v>
      </c>
      <c r="F367" s="59" t="s">
        <v>26</v>
      </c>
      <c r="G367" s="13">
        <v>4.56404320987654</v>
      </c>
      <c r="H367" s="60">
        <v>91.320423169155205</v>
      </c>
      <c r="I367" s="61">
        <v>92.529897138107188</v>
      </c>
      <c r="J367" s="48" t="s">
        <v>41</v>
      </c>
      <c r="K367" s="12">
        <f t="shared" si="5"/>
        <v>1.9652977864919836</v>
      </c>
    </row>
    <row r="368" spans="1:11" ht="15.75" x14ac:dyDescent="0.25">
      <c r="A368" s="13" t="s">
        <v>11</v>
      </c>
      <c r="B368" s="13">
        <v>74.4444444444444</v>
      </c>
      <c r="C368" s="58">
        <v>100</v>
      </c>
      <c r="D368" s="59">
        <v>170000</v>
      </c>
      <c r="E368" s="59">
        <v>27</v>
      </c>
      <c r="F368" s="59" t="s">
        <v>26</v>
      </c>
      <c r="G368" s="13">
        <v>4.6527777777777803</v>
      </c>
      <c r="H368" s="60">
        <v>94.117374620573599</v>
      </c>
      <c r="I368" s="61">
        <v>91.91874536145302</v>
      </c>
      <c r="J368" s="48" t="s">
        <v>41</v>
      </c>
      <c r="K368" s="12">
        <f t="shared" si="5"/>
        <v>1.9782598546096566</v>
      </c>
    </row>
    <row r="369" spans="1:11" ht="15.75" x14ac:dyDescent="0.25">
      <c r="A369" s="13" t="s">
        <v>11</v>
      </c>
      <c r="B369" s="13">
        <v>75.765432098765402</v>
      </c>
      <c r="C369" s="58">
        <v>100</v>
      </c>
      <c r="D369" s="59">
        <v>170000</v>
      </c>
      <c r="E369" s="59">
        <v>27</v>
      </c>
      <c r="F369" s="59" t="s">
        <v>26</v>
      </c>
      <c r="G369" s="13">
        <v>4.7353395061728403</v>
      </c>
      <c r="H369" s="60">
        <v>101.481497774594</v>
      </c>
      <c r="I369" s="61">
        <v>89.056766781940027</v>
      </c>
      <c r="J369" s="48" t="s">
        <v>41</v>
      </c>
      <c r="K369" s="12">
        <f t="shared" si="5"/>
        <v>2.0106454640286664</v>
      </c>
    </row>
    <row r="370" spans="1:11" ht="15.75" x14ac:dyDescent="0.25">
      <c r="A370" s="13" t="s">
        <v>11</v>
      </c>
      <c r="B370" s="13">
        <v>76.407407407407405</v>
      </c>
      <c r="C370" s="58">
        <v>100</v>
      </c>
      <c r="D370" s="59">
        <v>170000</v>
      </c>
      <c r="E370" s="59">
        <v>27</v>
      </c>
      <c r="F370" s="59" t="s">
        <v>26</v>
      </c>
      <c r="G370" s="13">
        <v>4.7754629629629601</v>
      </c>
      <c r="H370" s="60">
        <v>102.076914923635</v>
      </c>
      <c r="I370" s="61">
        <v>89.328653749386206</v>
      </c>
      <c r="J370" s="48" t="s">
        <v>41</v>
      </c>
      <c r="K370" s="12">
        <f t="shared" si="5"/>
        <v>2.0131614117056826</v>
      </c>
    </row>
    <row r="371" spans="1:11" ht="15.75" x14ac:dyDescent="0.25">
      <c r="A371" s="13" t="s">
        <v>11</v>
      </c>
      <c r="B371" s="13">
        <v>77.975308641975303</v>
      </c>
      <c r="C371" s="58">
        <v>100</v>
      </c>
      <c r="D371" s="59">
        <v>170000</v>
      </c>
      <c r="E371" s="59">
        <v>27</v>
      </c>
      <c r="F371" s="59" t="s">
        <v>26</v>
      </c>
      <c r="G371" s="13">
        <v>4.87345679012346</v>
      </c>
      <c r="H371" s="60">
        <v>109.770551498358</v>
      </c>
      <c r="I371" s="61">
        <v>88.080809696993413</v>
      </c>
      <c r="J371" s="48" t="s">
        <v>41</v>
      </c>
      <c r="K371" s="12">
        <f t="shared" si="5"/>
        <v>2.0444243179588182</v>
      </c>
    </row>
    <row r="372" spans="1:11" ht="15.75" x14ac:dyDescent="0.25">
      <c r="A372" s="13" t="s">
        <v>11</v>
      </c>
      <c r="B372" s="13">
        <v>78.1111111111111</v>
      </c>
      <c r="C372" s="58">
        <v>100</v>
      </c>
      <c r="D372" s="59">
        <v>170000</v>
      </c>
      <c r="E372" s="59">
        <v>27</v>
      </c>
      <c r="F372" s="59" t="s">
        <v>26</v>
      </c>
      <c r="G372" s="13">
        <v>4.8819444444444402</v>
      </c>
      <c r="H372" s="60">
        <v>109.939772307361</v>
      </c>
      <c r="I372" s="61">
        <v>88.004031871621436</v>
      </c>
      <c r="J372" s="48" t="s">
        <v>41</v>
      </c>
      <c r="K372" s="12">
        <f t="shared" si="5"/>
        <v>2.0450872701983225</v>
      </c>
    </row>
    <row r="373" spans="1:11" ht="15.75" x14ac:dyDescent="0.25">
      <c r="A373" s="13" t="s">
        <v>11</v>
      </c>
      <c r="B373" s="13">
        <v>81.370370370370395</v>
      </c>
      <c r="C373" s="58">
        <v>100</v>
      </c>
      <c r="D373" s="59">
        <v>170000</v>
      </c>
      <c r="E373" s="59">
        <v>27</v>
      </c>
      <c r="F373" s="59" t="s">
        <v>26</v>
      </c>
      <c r="G373" s="13">
        <v>5.0856481481481497</v>
      </c>
      <c r="H373" s="60">
        <v>119.189314695985</v>
      </c>
      <c r="I373" s="61">
        <v>86.741952124392185</v>
      </c>
      <c r="J373" s="48" t="s">
        <v>41</v>
      </c>
      <c r="K373" s="12">
        <f t="shared" si="5"/>
        <v>2.0798658588909511</v>
      </c>
    </row>
    <row r="374" spans="1:11" ht="15.75" x14ac:dyDescent="0.25">
      <c r="A374" s="13" t="s">
        <v>11</v>
      </c>
      <c r="B374" s="13">
        <v>81.506172839506206</v>
      </c>
      <c r="C374" s="58">
        <v>100</v>
      </c>
      <c r="D374" s="59">
        <v>170000</v>
      </c>
      <c r="E374" s="59">
        <v>27</v>
      </c>
      <c r="F374" s="59" t="s">
        <v>26</v>
      </c>
      <c r="G374" s="13">
        <v>5.0941358024691397</v>
      </c>
      <c r="H374" s="60">
        <v>118.135794749182</v>
      </c>
      <c r="I374" s="61">
        <v>86.602402297864245</v>
      </c>
      <c r="J374" s="48" t="s">
        <v>41</v>
      </c>
      <c r="K374" s="12">
        <f t="shared" si="5"/>
        <v>2.0760422663230278</v>
      </c>
    </row>
    <row r="375" spans="1:11" ht="15.75" x14ac:dyDescent="0.25">
      <c r="A375" s="13" t="s">
        <v>11</v>
      </c>
      <c r="B375" s="13">
        <v>84.098765432098801</v>
      </c>
      <c r="C375" s="58">
        <v>100</v>
      </c>
      <c r="D375" s="59">
        <v>170000</v>
      </c>
      <c r="E375" s="59">
        <v>27</v>
      </c>
      <c r="F375" s="59" t="s">
        <v>26</v>
      </c>
      <c r="G375" s="13">
        <v>5.2561728395061698</v>
      </c>
      <c r="H375" s="60">
        <v>115.85479547995099</v>
      </c>
      <c r="I375" s="61">
        <v>86.009528546098664</v>
      </c>
      <c r="J375" s="48" t="s">
        <v>41</v>
      </c>
      <c r="K375" s="12">
        <f t="shared" si="5"/>
        <v>2.0676465396443464</v>
      </c>
    </row>
    <row r="376" spans="1:11" ht="15.75" x14ac:dyDescent="0.25">
      <c r="A376" s="13" t="s">
        <v>11</v>
      </c>
      <c r="B376" s="13">
        <v>84.950617283950606</v>
      </c>
      <c r="C376" s="58">
        <v>100</v>
      </c>
      <c r="D376" s="59">
        <v>170000</v>
      </c>
      <c r="E376" s="59">
        <v>27</v>
      </c>
      <c r="F376" s="59" t="s">
        <v>26</v>
      </c>
      <c r="G376" s="13">
        <v>5.3094135802469102</v>
      </c>
      <c r="H376" s="60">
        <v>116.057644065823</v>
      </c>
      <c r="I376" s="61">
        <v>84.974816957066864</v>
      </c>
      <c r="J376" s="48" t="s">
        <v>41</v>
      </c>
      <c r="K376" s="12">
        <f t="shared" si="5"/>
        <v>2.0683997791365334</v>
      </c>
    </row>
    <row r="377" spans="1:11" ht="15.75" x14ac:dyDescent="0.25">
      <c r="A377" s="13" t="s">
        <v>11</v>
      </c>
      <c r="B377" s="13">
        <v>86.629629629629605</v>
      </c>
      <c r="C377" s="58">
        <v>100</v>
      </c>
      <c r="D377" s="59">
        <v>170000</v>
      </c>
      <c r="E377" s="59">
        <v>27</v>
      </c>
      <c r="F377" s="59" t="s">
        <v>26</v>
      </c>
      <c r="G377" s="13">
        <v>5.4143518518518503</v>
      </c>
      <c r="H377" s="60">
        <v>135.13622176650401</v>
      </c>
      <c r="I377" s="61">
        <v>81.713821826432635</v>
      </c>
      <c r="J377" s="48" t="s">
        <v>41</v>
      </c>
      <c r="K377" s="12">
        <f t="shared" si="5"/>
        <v>2.1339736933177336</v>
      </c>
    </row>
    <row r="378" spans="1:11" ht="15.75" x14ac:dyDescent="0.25">
      <c r="A378" s="13" t="s">
        <v>11</v>
      </c>
      <c r="B378" s="13">
        <v>92.765432098765402</v>
      </c>
      <c r="C378" s="58">
        <v>100</v>
      </c>
      <c r="D378" s="59">
        <v>170000</v>
      </c>
      <c r="E378" s="59">
        <v>27</v>
      </c>
      <c r="F378" s="59" t="s">
        <v>26</v>
      </c>
      <c r="G378" s="13">
        <v>5.7978395061728403</v>
      </c>
      <c r="H378" s="60">
        <v>146.870637125271</v>
      </c>
      <c r="I378" s="61">
        <v>80.961712935013409</v>
      </c>
      <c r="J378" s="48" t="s">
        <v>41</v>
      </c>
      <c r="K378" s="12">
        <f t="shared" si="5"/>
        <v>2.1698819441085342</v>
      </c>
    </row>
    <row r="379" spans="1:11" ht="15.75" x14ac:dyDescent="0.25">
      <c r="A379" s="13" t="s">
        <v>11</v>
      </c>
      <c r="B379" s="13">
        <v>92.7777777777778</v>
      </c>
      <c r="C379" s="58">
        <v>100</v>
      </c>
      <c r="D379" s="59">
        <v>170000</v>
      </c>
      <c r="E379" s="59">
        <v>27</v>
      </c>
      <c r="F379" s="59" t="s">
        <v>26</v>
      </c>
      <c r="G379" s="13">
        <v>5.7986111111111098</v>
      </c>
      <c r="H379" s="60">
        <v>146.293513516014</v>
      </c>
      <c r="I379" s="61">
        <v>80.825468745436382</v>
      </c>
      <c r="J379" s="48" t="s">
        <v>41</v>
      </c>
      <c r="K379" s="12">
        <f t="shared" si="5"/>
        <v>2.1681836218852011</v>
      </c>
    </row>
    <row r="380" spans="1:11" ht="15.75" x14ac:dyDescent="0.25">
      <c r="A380" s="13" t="s">
        <v>11</v>
      </c>
      <c r="B380" s="13">
        <v>100.049382716049</v>
      </c>
      <c r="C380" s="58">
        <v>100</v>
      </c>
      <c r="D380" s="59">
        <v>170000</v>
      </c>
      <c r="E380" s="59">
        <v>27</v>
      </c>
      <c r="F380" s="59" t="s">
        <v>26</v>
      </c>
      <c r="G380" s="13">
        <v>6.2530864197530898</v>
      </c>
      <c r="H380" s="60">
        <v>160.44213168015401</v>
      </c>
      <c r="I380" s="61">
        <v>70.343276841835319</v>
      </c>
      <c r="J380" s="48" t="s">
        <v>41</v>
      </c>
      <c r="K380" s="12">
        <f t="shared" si="5"/>
        <v>2.2080168833503184</v>
      </c>
    </row>
    <row r="381" spans="1:11" ht="15.75" x14ac:dyDescent="0.25">
      <c r="A381" s="13" t="s">
        <v>11</v>
      </c>
      <c r="B381" s="13">
        <v>101.38271604938301</v>
      </c>
      <c r="C381" s="58">
        <v>100</v>
      </c>
      <c r="D381" s="59">
        <v>170000</v>
      </c>
      <c r="E381" s="59">
        <v>27</v>
      </c>
      <c r="F381" s="59" t="s">
        <v>26</v>
      </c>
      <c r="G381" s="13">
        <v>6.3364197530864201</v>
      </c>
      <c r="H381" s="60">
        <v>169.67584053201099</v>
      </c>
      <c r="I381" s="61">
        <v>67.069826533948103</v>
      </c>
      <c r="J381" s="48" t="s">
        <v>41</v>
      </c>
      <c r="K381" s="12">
        <f t="shared" si="5"/>
        <v>2.2321720503109739</v>
      </c>
    </row>
    <row r="382" spans="1:11" ht="15.75" x14ac:dyDescent="0.25">
      <c r="A382" s="13" t="s">
        <v>11</v>
      </c>
      <c r="B382" s="13">
        <v>101.39506172839501</v>
      </c>
      <c r="C382" s="58">
        <v>100</v>
      </c>
      <c r="D382" s="59">
        <v>170000</v>
      </c>
      <c r="E382" s="59">
        <v>27</v>
      </c>
      <c r="F382" s="59" t="s">
        <v>26</v>
      </c>
      <c r="G382" s="13">
        <v>6.3371913580246897</v>
      </c>
      <c r="H382" s="60">
        <v>170.171344127309</v>
      </c>
      <c r="I382" s="61">
        <v>67.58369283706574</v>
      </c>
      <c r="J382" s="48" t="s">
        <v>41</v>
      </c>
      <c r="K382" s="12">
        <f t="shared" si="5"/>
        <v>2.2334310609892385</v>
      </c>
    </row>
    <row r="383" spans="1:11" ht="15.75" x14ac:dyDescent="0.25">
      <c r="A383" s="13" t="s">
        <v>11</v>
      </c>
      <c r="B383" s="13">
        <v>114.222222222222</v>
      </c>
      <c r="C383" s="58">
        <v>100</v>
      </c>
      <c r="D383" s="59">
        <v>170000</v>
      </c>
      <c r="E383" s="59">
        <v>27</v>
      </c>
      <c r="F383" s="59" t="s">
        <v>26</v>
      </c>
      <c r="G383" s="13">
        <v>7.1388888888888902</v>
      </c>
      <c r="H383" s="60">
        <v>197.78587169024499</v>
      </c>
      <c r="I383" s="61">
        <v>64.467395644279677</v>
      </c>
      <c r="J383" s="48" t="s">
        <v>41</v>
      </c>
      <c r="K383" s="12">
        <f t="shared" si="5"/>
        <v>2.2983855145431527</v>
      </c>
    </row>
    <row r="384" spans="1:11" ht="15.75" x14ac:dyDescent="0.25">
      <c r="A384" s="13" t="s">
        <v>11</v>
      </c>
      <c r="B384" s="13">
        <v>114.358024691358</v>
      </c>
      <c r="C384" s="58">
        <v>100</v>
      </c>
      <c r="D384" s="59">
        <v>170000</v>
      </c>
      <c r="E384" s="59">
        <v>27</v>
      </c>
      <c r="F384" s="59" t="s">
        <v>26</v>
      </c>
      <c r="G384" s="13">
        <v>7.1473765432098801</v>
      </c>
      <c r="H384" s="60">
        <v>198.87667729020399</v>
      </c>
      <c r="I384" s="61">
        <v>64.649348881166063</v>
      </c>
      <c r="J384" s="48" t="s">
        <v>41</v>
      </c>
      <c r="K384" s="12">
        <f t="shared" si="5"/>
        <v>2.3007621212061924</v>
      </c>
    </row>
    <row r="385" spans="1:11" ht="15.75" x14ac:dyDescent="0.25">
      <c r="A385" s="13" t="s">
        <v>11</v>
      </c>
      <c r="B385" s="13">
        <v>121.037037037037</v>
      </c>
      <c r="C385" s="58">
        <v>100</v>
      </c>
      <c r="D385" s="59">
        <v>170000</v>
      </c>
      <c r="E385" s="59">
        <v>27</v>
      </c>
      <c r="F385" s="59" t="s">
        <v>26</v>
      </c>
      <c r="G385" s="13">
        <v>7.5648148148148104</v>
      </c>
      <c r="H385" s="60">
        <v>218.122695985913</v>
      </c>
      <c r="I385" s="61">
        <v>55.983836277091036</v>
      </c>
      <c r="J385" s="48" t="s">
        <v>41</v>
      </c>
      <c r="K385" s="12">
        <f t="shared" si="5"/>
        <v>2.3406873626404034</v>
      </c>
    </row>
    <row r="386" spans="1:11" ht="15.75" x14ac:dyDescent="0.25">
      <c r="A386" s="13" t="s">
        <v>11</v>
      </c>
      <c r="B386" s="13">
        <v>129.80246913580299</v>
      </c>
      <c r="C386" s="58">
        <v>100</v>
      </c>
      <c r="D386" s="59">
        <v>170000</v>
      </c>
      <c r="E386" s="59">
        <v>27</v>
      </c>
      <c r="F386" s="59" t="s">
        <v>26</v>
      </c>
      <c r="G386" s="13">
        <v>8.1126543209876605</v>
      </c>
      <c r="H386" s="60">
        <v>236.753974802393</v>
      </c>
      <c r="I386" s="61">
        <v>52.498635019010585</v>
      </c>
      <c r="J386" s="48" t="s">
        <v>41</v>
      </c>
      <c r="K386" s="12">
        <f t="shared" si="5"/>
        <v>2.3761277862627268</v>
      </c>
    </row>
    <row r="387" spans="1:11" ht="15.75" x14ac:dyDescent="0.25">
      <c r="A387" s="13" t="s">
        <v>11</v>
      </c>
      <c r="B387" s="13">
        <v>131.38271604938299</v>
      </c>
      <c r="C387" s="58">
        <v>100</v>
      </c>
      <c r="D387" s="59">
        <v>170000</v>
      </c>
      <c r="E387" s="59">
        <v>27</v>
      </c>
      <c r="F387" s="59" t="s">
        <v>26</v>
      </c>
      <c r="G387" s="13">
        <v>8.2114197530864192</v>
      </c>
      <c r="H387" s="60">
        <v>237.45058635887901</v>
      </c>
      <c r="I387" s="61">
        <v>50.672996515979776</v>
      </c>
      <c r="J387" s="48" t="s">
        <v>41</v>
      </c>
      <c r="K387" s="12">
        <f t="shared" ref="K387:K404" si="6">LOG(H387+1)</f>
        <v>2.3773983947175164</v>
      </c>
    </row>
    <row r="388" spans="1:11" ht="15.75" x14ac:dyDescent="0.25">
      <c r="A388" s="13" t="s">
        <v>11</v>
      </c>
      <c r="B388" s="13">
        <v>134.62962962962999</v>
      </c>
      <c r="C388" s="58">
        <v>100</v>
      </c>
      <c r="D388" s="59">
        <v>170000</v>
      </c>
      <c r="E388" s="59">
        <v>27</v>
      </c>
      <c r="F388" s="59" t="s">
        <v>26</v>
      </c>
      <c r="G388" s="13">
        <v>8.4143518518518494</v>
      </c>
      <c r="H388" s="60">
        <v>242.36664053129601</v>
      </c>
      <c r="I388" s="61">
        <v>42.740503785809643</v>
      </c>
      <c r="J388" s="48" t="s">
        <v>41</v>
      </c>
      <c r="K388" s="12">
        <f t="shared" si="6"/>
        <v>2.3862610470818382</v>
      </c>
    </row>
    <row r="389" spans="1:11" ht="15.75" x14ac:dyDescent="0.25">
      <c r="A389" s="13" t="s">
        <v>11</v>
      </c>
      <c r="B389" s="13">
        <v>134.76543209876499</v>
      </c>
      <c r="C389" s="58">
        <v>100</v>
      </c>
      <c r="D389" s="59">
        <v>170000</v>
      </c>
      <c r="E389" s="59">
        <v>27</v>
      </c>
      <c r="F389" s="59" t="s">
        <v>26</v>
      </c>
      <c r="G389" s="13">
        <v>8.4228395061728403</v>
      </c>
      <c r="H389" s="60">
        <v>244.10751309579101</v>
      </c>
      <c r="I389" s="61">
        <v>43.310422707274718</v>
      </c>
      <c r="J389" s="48" t="s">
        <v>41</v>
      </c>
      <c r="K389" s="12">
        <f t="shared" si="6"/>
        <v>2.3893566235574064</v>
      </c>
    </row>
    <row r="390" spans="1:11" ht="15.75" x14ac:dyDescent="0.25">
      <c r="A390" s="13" t="s">
        <v>11</v>
      </c>
      <c r="B390" s="13">
        <v>135.61728395061701</v>
      </c>
      <c r="C390" s="58">
        <v>100</v>
      </c>
      <c r="D390" s="59">
        <v>170000</v>
      </c>
      <c r="E390" s="59">
        <v>27</v>
      </c>
      <c r="F390" s="59" t="s">
        <v>26</v>
      </c>
      <c r="G390" s="13">
        <v>8.4760802469135808</v>
      </c>
      <c r="H390" s="60">
        <v>268.80594686720298</v>
      </c>
      <c r="I390" s="61">
        <v>38.937747085431681</v>
      </c>
      <c r="J390" s="48" t="s">
        <v>41</v>
      </c>
      <c r="K390" s="12">
        <f t="shared" si="6"/>
        <v>2.4310515178456993</v>
      </c>
    </row>
    <row r="391" spans="1:11" ht="15.75" x14ac:dyDescent="0.25">
      <c r="A391" s="13" t="s">
        <v>11</v>
      </c>
      <c r="B391" s="13">
        <v>138.76543209876499</v>
      </c>
      <c r="C391" s="58">
        <v>100</v>
      </c>
      <c r="D391" s="59">
        <v>170000</v>
      </c>
      <c r="E391" s="59">
        <v>27</v>
      </c>
      <c r="F391" s="59" t="s">
        <v>26</v>
      </c>
      <c r="G391" s="13">
        <v>8.6728395061728403</v>
      </c>
      <c r="H391" s="60">
        <v>276.47215864353598</v>
      </c>
      <c r="I391" s="61">
        <v>37.087393177155029</v>
      </c>
      <c r="J391" s="48" t="s">
        <v>41</v>
      </c>
      <c r="K391" s="12">
        <f t="shared" si="6"/>
        <v>2.4432194128494005</v>
      </c>
    </row>
    <row r="392" spans="1:11" ht="15.75" x14ac:dyDescent="0.25">
      <c r="A392" s="13" t="s">
        <v>11</v>
      </c>
      <c r="B392" s="13">
        <v>138.98765432098801</v>
      </c>
      <c r="C392" s="58">
        <v>100</v>
      </c>
      <c r="D392" s="59">
        <v>170000</v>
      </c>
      <c r="E392" s="59">
        <v>27</v>
      </c>
      <c r="F392" s="59" t="s">
        <v>26</v>
      </c>
      <c r="G392" s="13">
        <v>8.6867283950617207</v>
      </c>
      <c r="H392" s="60">
        <v>277.91158736174998</v>
      </c>
      <c r="I392" s="61">
        <v>37.116531017047379</v>
      </c>
      <c r="J392" s="48" t="s">
        <v>41</v>
      </c>
      <c r="K392" s="12">
        <f t="shared" si="6"/>
        <v>2.4454665573737322</v>
      </c>
    </row>
    <row r="393" spans="1:11" ht="15.75" x14ac:dyDescent="0.25">
      <c r="A393" s="13" t="s">
        <v>11</v>
      </c>
      <c r="B393" s="13">
        <v>142.950617283951</v>
      </c>
      <c r="C393" s="58">
        <v>100</v>
      </c>
      <c r="D393" s="59">
        <v>170000</v>
      </c>
      <c r="E393" s="59">
        <v>27</v>
      </c>
      <c r="F393" s="59" t="s">
        <v>26</v>
      </c>
      <c r="G393" s="13">
        <v>8.9344135802469093</v>
      </c>
      <c r="H393" s="60">
        <v>286.85972796189498</v>
      </c>
      <c r="I393" s="61">
        <v>34.11313100581657</v>
      </c>
      <c r="J393" s="48" t="s">
        <v>41</v>
      </c>
      <c r="K393" s="12">
        <f t="shared" si="6"/>
        <v>2.4591809106325067</v>
      </c>
    </row>
    <row r="394" spans="1:11" ht="15.75" x14ac:dyDescent="0.25">
      <c r="A394" s="13" t="s">
        <v>11</v>
      </c>
      <c r="B394" s="13">
        <v>163.80246913580299</v>
      </c>
      <c r="C394" s="58">
        <v>100</v>
      </c>
      <c r="D394" s="59">
        <v>170000</v>
      </c>
      <c r="E394" s="59">
        <v>27</v>
      </c>
      <c r="F394" s="59" t="s">
        <v>26</v>
      </c>
      <c r="G394" s="13">
        <v>10.2376543209877</v>
      </c>
      <c r="H394" s="60">
        <v>312.40940534689798</v>
      </c>
      <c r="I394" s="61">
        <v>21.29770737408457</v>
      </c>
      <c r="J394" s="48" t="s">
        <v>41</v>
      </c>
      <c r="K394" s="12">
        <f t="shared" si="6"/>
        <v>2.4961120254094293</v>
      </c>
    </row>
    <row r="395" spans="1:11" ht="15.75" x14ac:dyDescent="0.25">
      <c r="A395" s="13" t="s">
        <v>11</v>
      </c>
      <c r="B395" s="13">
        <v>164.29629629629599</v>
      </c>
      <c r="C395" s="58">
        <v>100</v>
      </c>
      <c r="D395" s="59">
        <v>170000</v>
      </c>
      <c r="E395" s="59">
        <v>27</v>
      </c>
      <c r="F395" s="59" t="s">
        <v>26</v>
      </c>
      <c r="G395" s="13">
        <v>10.2685185185185</v>
      </c>
      <c r="H395" s="60">
        <v>312.61392122981601</v>
      </c>
      <c r="I395" s="61">
        <v>21.205644616056958</v>
      </c>
      <c r="J395" s="48" t="s">
        <v>41</v>
      </c>
      <c r="K395" s="12">
        <f t="shared" si="6"/>
        <v>2.4963953326447359</v>
      </c>
    </row>
    <row r="396" spans="1:11" ht="15.75" x14ac:dyDescent="0.25">
      <c r="A396" s="13" t="s">
        <v>11</v>
      </c>
      <c r="B396" s="13">
        <v>164.691358024691</v>
      </c>
      <c r="C396" s="58">
        <v>100</v>
      </c>
      <c r="D396" s="59">
        <v>170000</v>
      </c>
      <c r="E396" s="59">
        <v>27</v>
      </c>
      <c r="F396" s="59" t="s">
        <v>26</v>
      </c>
      <c r="G396" s="13">
        <v>10.2932098765432</v>
      </c>
      <c r="H396" s="60">
        <v>312.68523211872002</v>
      </c>
      <c r="I396" s="61">
        <v>21.3781549580678</v>
      </c>
      <c r="J396" s="48" t="s">
        <v>41</v>
      </c>
      <c r="K396" s="12">
        <f t="shared" si="6"/>
        <v>2.4964940731755294</v>
      </c>
    </row>
    <row r="397" spans="1:11" ht="15.75" x14ac:dyDescent="0.25">
      <c r="A397" s="13" t="s">
        <v>11</v>
      </c>
      <c r="B397" s="13">
        <v>173.024691358025</v>
      </c>
      <c r="C397" s="58">
        <v>100</v>
      </c>
      <c r="D397" s="59">
        <v>170000</v>
      </c>
      <c r="E397" s="59">
        <v>27</v>
      </c>
      <c r="F397" s="59" t="s">
        <v>26</v>
      </c>
      <c r="G397" s="13">
        <v>10.8140432098765</v>
      </c>
      <c r="H397" s="60">
        <v>325.76771361422402</v>
      </c>
      <c r="I397" s="61">
        <v>19.895097423324589</v>
      </c>
      <c r="J397" s="48" t="s">
        <v>41</v>
      </c>
      <c r="K397" s="12">
        <f t="shared" si="6"/>
        <v>2.51423913937851</v>
      </c>
    </row>
    <row r="398" spans="1:11" ht="15.75" x14ac:dyDescent="0.25">
      <c r="A398" s="13" t="s">
        <v>11</v>
      </c>
      <c r="B398" s="13">
        <v>174.691358024691</v>
      </c>
      <c r="C398" s="58">
        <v>100</v>
      </c>
      <c r="D398" s="59">
        <v>170000</v>
      </c>
      <c r="E398" s="59">
        <v>27</v>
      </c>
      <c r="F398" s="59" t="s">
        <v>26</v>
      </c>
      <c r="G398" s="13">
        <v>10.9182098765432</v>
      </c>
      <c r="H398" s="60">
        <v>356.71866218363698</v>
      </c>
      <c r="I398" s="61">
        <v>9.682242778920342</v>
      </c>
      <c r="J398" s="48" t="s">
        <v>41</v>
      </c>
      <c r="K398" s="12">
        <f t="shared" si="6"/>
        <v>2.5535415978843741</v>
      </c>
    </row>
    <row r="399" spans="1:11" ht="15.75" x14ac:dyDescent="0.25">
      <c r="A399" s="13" t="s">
        <v>11</v>
      </c>
      <c r="B399" s="13">
        <v>178.777777777778</v>
      </c>
      <c r="C399" s="58">
        <v>100</v>
      </c>
      <c r="D399" s="59">
        <v>170000</v>
      </c>
      <c r="E399" s="59">
        <v>27</v>
      </c>
      <c r="F399" s="59" t="s">
        <v>26</v>
      </c>
      <c r="G399" s="13">
        <v>11.1736111111111</v>
      </c>
      <c r="H399" s="60">
        <v>358.109993889961</v>
      </c>
      <c r="I399" s="61">
        <v>9.9623587805908205</v>
      </c>
      <c r="J399" s="48" t="s">
        <v>41</v>
      </c>
      <c r="K399" s="12">
        <f t="shared" si="6"/>
        <v>2.5552274915389606</v>
      </c>
    </row>
    <row r="400" spans="1:11" ht="15.75" x14ac:dyDescent="0.25">
      <c r="A400" s="13" t="s">
        <v>11</v>
      </c>
      <c r="B400" s="13">
        <v>180.60493827160499</v>
      </c>
      <c r="C400" s="58">
        <v>100</v>
      </c>
      <c r="D400" s="59">
        <v>170000</v>
      </c>
      <c r="E400" s="59">
        <v>27</v>
      </c>
      <c r="F400" s="59" t="s">
        <v>26</v>
      </c>
      <c r="G400" s="13">
        <v>11.2878086419753</v>
      </c>
      <c r="H400" s="60">
        <v>358.54447330344601</v>
      </c>
      <c r="I400" s="61">
        <v>9.7514428663419999</v>
      </c>
      <c r="J400" s="48" t="s">
        <v>41</v>
      </c>
      <c r="K400" s="12">
        <f t="shared" si="6"/>
        <v>2.5557526174329208</v>
      </c>
    </row>
    <row r="401" spans="1:11" ht="15.75" x14ac:dyDescent="0.25">
      <c r="A401" s="13" t="s">
        <v>11</v>
      </c>
      <c r="B401" s="13">
        <v>192.864197530864</v>
      </c>
      <c r="C401" s="58">
        <v>100</v>
      </c>
      <c r="D401" s="59">
        <v>170000</v>
      </c>
      <c r="E401" s="59">
        <v>27</v>
      </c>
      <c r="F401" s="59" t="s">
        <v>26</v>
      </c>
      <c r="G401" s="13">
        <v>12.054012345679</v>
      </c>
      <c r="H401" s="60">
        <v>387.81084949799799</v>
      </c>
      <c r="I401" s="61">
        <v>3.8990769706615303</v>
      </c>
      <c r="J401" s="48" t="s">
        <v>41</v>
      </c>
      <c r="K401" s="12">
        <f t="shared" si="6"/>
        <v>2.5897383751106426</v>
      </c>
    </row>
    <row r="402" spans="1:11" ht="15.75" x14ac:dyDescent="0.25">
      <c r="A402" s="13" t="s">
        <v>11</v>
      </c>
      <c r="B402" s="13">
        <v>193.74074074074099</v>
      </c>
      <c r="C402" s="58">
        <v>100</v>
      </c>
      <c r="D402" s="59">
        <v>170000</v>
      </c>
      <c r="E402" s="59">
        <v>27</v>
      </c>
      <c r="F402" s="59" t="s">
        <v>26</v>
      </c>
      <c r="G402" s="13">
        <v>12.108796296296299</v>
      </c>
      <c r="H402" s="60">
        <v>387.83895072918801</v>
      </c>
      <c r="I402" s="61">
        <v>3.8715037276428679</v>
      </c>
      <c r="J402" s="48" t="s">
        <v>41</v>
      </c>
      <c r="K402" s="12">
        <f t="shared" si="6"/>
        <v>2.5897697625285838</v>
      </c>
    </row>
    <row r="403" spans="1:11" ht="15.75" x14ac:dyDescent="0.25">
      <c r="A403" s="13" t="s">
        <v>11</v>
      </c>
      <c r="B403" s="13">
        <v>203.17283950617301</v>
      </c>
      <c r="C403" s="58">
        <v>100</v>
      </c>
      <c r="D403" s="59">
        <v>170000</v>
      </c>
      <c r="E403" s="59">
        <v>27</v>
      </c>
      <c r="F403" s="59" t="s">
        <v>26</v>
      </c>
      <c r="G403" s="13">
        <v>12.6983024691358</v>
      </c>
      <c r="H403" s="60">
        <v>391.98704644294202</v>
      </c>
      <c r="I403" s="61">
        <v>1.2907746216061651</v>
      </c>
      <c r="J403" s="48" t="s">
        <v>41</v>
      </c>
      <c r="K403" s="12">
        <f t="shared" si="6"/>
        <v>2.5943782354872176</v>
      </c>
    </row>
    <row r="404" spans="1:11" ht="15.75" x14ac:dyDescent="0.25">
      <c r="A404" s="13" t="s">
        <v>11</v>
      </c>
      <c r="B404" s="13">
        <v>205.31481481481501</v>
      </c>
      <c r="C404" s="58">
        <v>100</v>
      </c>
      <c r="D404" s="59">
        <v>170000</v>
      </c>
      <c r="E404" s="59">
        <v>27</v>
      </c>
      <c r="F404" s="59" t="s">
        <v>26</v>
      </c>
      <c r="G404" s="13">
        <v>12.832175925925901</v>
      </c>
      <c r="H404" s="60">
        <v>393.03284704383901</v>
      </c>
      <c r="I404" s="61">
        <v>1.2924224188440401</v>
      </c>
      <c r="J404" s="48" t="s">
        <v>41</v>
      </c>
      <c r="K404" s="12">
        <f t="shared" si="6"/>
        <v>2.5955324266359394</v>
      </c>
    </row>
    <row r="405" spans="1:11" ht="15.75" x14ac:dyDescent="0.25">
      <c r="A405" s="62" t="s">
        <v>31</v>
      </c>
      <c r="B405" s="63">
        <v>29.91</v>
      </c>
      <c r="C405" s="63">
        <v>100</v>
      </c>
      <c r="D405" s="63">
        <v>58440</v>
      </c>
      <c r="E405" s="63">
        <v>40</v>
      </c>
      <c r="F405" s="63" t="s">
        <v>26</v>
      </c>
      <c r="G405" s="63">
        <v>70.290000000000006</v>
      </c>
      <c r="H405" s="64">
        <v>4.3</v>
      </c>
      <c r="I405" s="5">
        <v>100</v>
      </c>
      <c r="J405" s="65" t="s">
        <v>42</v>
      </c>
      <c r="K405" s="66">
        <f>LOG(H405+1)</f>
        <v>0.72427586960078905</v>
      </c>
    </row>
    <row r="406" spans="1:11" ht="15.75" x14ac:dyDescent="0.25">
      <c r="A406" s="62" t="s">
        <v>31</v>
      </c>
      <c r="B406" s="63">
        <v>29.91</v>
      </c>
      <c r="C406" s="63">
        <v>500</v>
      </c>
      <c r="D406" s="63">
        <v>58440</v>
      </c>
      <c r="E406" s="63">
        <v>40</v>
      </c>
      <c r="F406" s="63" t="s">
        <v>26</v>
      </c>
      <c r="G406" s="63">
        <v>70.290000000000006</v>
      </c>
      <c r="H406" s="64">
        <v>21.3</v>
      </c>
      <c r="I406" s="5">
        <v>100</v>
      </c>
      <c r="J406" s="65" t="s">
        <v>42</v>
      </c>
      <c r="K406" s="66">
        <f t="shared" ref="K406:K452" si="7">LOG(H406+1)</f>
        <v>1.3483048630481607</v>
      </c>
    </row>
    <row r="407" spans="1:11" ht="15.75" x14ac:dyDescent="0.25">
      <c r="A407" s="62" t="s">
        <v>31</v>
      </c>
      <c r="B407" s="63">
        <v>29.91</v>
      </c>
      <c r="C407" s="63">
        <v>1000</v>
      </c>
      <c r="D407" s="63">
        <v>58440</v>
      </c>
      <c r="E407" s="63">
        <v>40</v>
      </c>
      <c r="F407" s="63" t="s">
        <v>26</v>
      </c>
      <c r="G407" s="63">
        <v>70.290000000000006</v>
      </c>
      <c r="H407" s="64">
        <v>42.7</v>
      </c>
      <c r="I407" s="5">
        <v>100</v>
      </c>
      <c r="J407" s="65" t="s">
        <v>42</v>
      </c>
      <c r="K407" s="66">
        <f t="shared" si="7"/>
        <v>1.6404814369704219</v>
      </c>
    </row>
    <row r="408" spans="1:11" ht="15.75" x14ac:dyDescent="0.25">
      <c r="A408" s="62" t="s">
        <v>31</v>
      </c>
      <c r="B408" s="63">
        <v>29.91</v>
      </c>
      <c r="C408" s="63">
        <v>1500</v>
      </c>
      <c r="D408" s="63">
        <v>58440</v>
      </c>
      <c r="E408" s="63">
        <v>40</v>
      </c>
      <c r="F408" s="63" t="s">
        <v>26</v>
      </c>
      <c r="G408" s="63">
        <v>70.290000000000006</v>
      </c>
      <c r="H408" s="64">
        <v>64</v>
      </c>
      <c r="I408" s="5">
        <v>90</v>
      </c>
      <c r="J408" s="65" t="s">
        <v>42</v>
      </c>
      <c r="K408" s="66">
        <f t="shared" si="7"/>
        <v>1.8129133566428555</v>
      </c>
    </row>
    <row r="409" spans="1:11" ht="15.75" x14ac:dyDescent="0.25">
      <c r="A409" s="62" t="s">
        <v>31</v>
      </c>
      <c r="B409" s="63">
        <v>29.91</v>
      </c>
      <c r="C409" s="63">
        <v>2000</v>
      </c>
      <c r="D409" s="63">
        <v>58440</v>
      </c>
      <c r="E409" s="63">
        <v>40</v>
      </c>
      <c r="F409" s="63" t="s">
        <v>26</v>
      </c>
      <c r="G409" s="63">
        <v>70.290000000000006</v>
      </c>
      <c r="H409" s="64">
        <v>85.4</v>
      </c>
      <c r="I409" s="5">
        <v>84</v>
      </c>
      <c r="J409" s="65" t="s">
        <v>42</v>
      </c>
      <c r="K409" s="66">
        <f t="shared" si="7"/>
        <v>1.9365137424788934</v>
      </c>
    </row>
    <row r="410" spans="1:11" ht="15.75" x14ac:dyDescent="0.25">
      <c r="A410" s="62" t="s">
        <v>31</v>
      </c>
      <c r="B410" s="63">
        <v>29.91</v>
      </c>
      <c r="C410" s="63">
        <v>2500</v>
      </c>
      <c r="D410" s="63">
        <v>58440</v>
      </c>
      <c r="E410" s="63">
        <v>40</v>
      </c>
      <c r="F410" s="63" t="s">
        <v>26</v>
      </c>
      <c r="G410" s="63">
        <v>70.290000000000006</v>
      </c>
      <c r="H410" s="64">
        <v>106.7</v>
      </c>
      <c r="I410" s="5">
        <v>80</v>
      </c>
      <c r="J410" s="65" t="s">
        <v>42</v>
      </c>
      <c r="K410" s="66">
        <f t="shared" si="7"/>
        <v>2.0322157032979815</v>
      </c>
    </row>
    <row r="411" spans="1:11" ht="15.75" x14ac:dyDescent="0.25">
      <c r="A411" s="62" t="s">
        <v>31</v>
      </c>
      <c r="B411" s="63">
        <v>20.48</v>
      </c>
      <c r="C411" s="63">
        <v>100</v>
      </c>
      <c r="D411" s="63">
        <v>58440</v>
      </c>
      <c r="E411" s="63">
        <v>40</v>
      </c>
      <c r="F411" s="63" t="s">
        <v>10</v>
      </c>
      <c r="G411" s="63">
        <v>70.290000000000006</v>
      </c>
      <c r="H411" s="64">
        <v>1.3</v>
      </c>
      <c r="I411" s="5">
        <v>100</v>
      </c>
      <c r="J411" s="65" t="s">
        <v>42</v>
      </c>
      <c r="K411" s="66">
        <f t="shared" si="7"/>
        <v>0.36172783601759284</v>
      </c>
    </row>
    <row r="412" spans="1:11" ht="15.75" x14ac:dyDescent="0.25">
      <c r="A412" s="62" t="s">
        <v>31</v>
      </c>
      <c r="B412" s="63">
        <v>20.48</v>
      </c>
      <c r="C412" s="63">
        <v>500</v>
      </c>
      <c r="D412" s="63">
        <v>58440</v>
      </c>
      <c r="E412" s="63">
        <v>40</v>
      </c>
      <c r="F412" s="63" t="s">
        <v>10</v>
      </c>
      <c r="G412" s="63">
        <v>70.290000000000006</v>
      </c>
      <c r="H412" s="64">
        <v>6.3</v>
      </c>
      <c r="I412" s="5">
        <v>100</v>
      </c>
      <c r="J412" s="65" t="s">
        <v>42</v>
      </c>
      <c r="K412" s="66">
        <f t="shared" si="7"/>
        <v>0.86332286012045589</v>
      </c>
    </row>
    <row r="413" spans="1:11" ht="15.75" x14ac:dyDescent="0.25">
      <c r="A413" s="62" t="s">
        <v>31</v>
      </c>
      <c r="B413" s="63">
        <v>20.48</v>
      </c>
      <c r="C413" s="63">
        <v>1000</v>
      </c>
      <c r="D413" s="63">
        <v>58440</v>
      </c>
      <c r="E413" s="63">
        <v>40</v>
      </c>
      <c r="F413" s="63" t="s">
        <v>10</v>
      </c>
      <c r="G413" s="63">
        <v>70.290000000000006</v>
      </c>
      <c r="H413" s="64">
        <v>12.5</v>
      </c>
      <c r="I413" s="5">
        <v>100</v>
      </c>
      <c r="J413" s="65" t="s">
        <v>42</v>
      </c>
      <c r="K413" s="66">
        <f t="shared" si="7"/>
        <v>1.1303337684950061</v>
      </c>
    </row>
    <row r="414" spans="1:11" ht="15.75" x14ac:dyDescent="0.25">
      <c r="A414" s="62" t="s">
        <v>31</v>
      </c>
      <c r="B414" s="63">
        <v>20.48</v>
      </c>
      <c r="C414" s="63">
        <v>1500</v>
      </c>
      <c r="D414" s="63">
        <v>58440</v>
      </c>
      <c r="E414" s="63">
        <v>40</v>
      </c>
      <c r="F414" s="63" t="s">
        <v>10</v>
      </c>
      <c r="G414" s="63">
        <v>70.290000000000006</v>
      </c>
      <c r="H414" s="64">
        <v>18.8</v>
      </c>
      <c r="I414" s="5">
        <v>100</v>
      </c>
      <c r="J414" s="65" t="s">
        <v>42</v>
      </c>
      <c r="K414" s="66">
        <f t="shared" si="7"/>
        <v>1.2966651902615312</v>
      </c>
    </row>
    <row r="415" spans="1:11" ht="15.75" x14ac:dyDescent="0.25">
      <c r="A415" s="62" t="s">
        <v>31</v>
      </c>
      <c r="B415" s="63">
        <v>20.48</v>
      </c>
      <c r="C415" s="63">
        <v>2000</v>
      </c>
      <c r="D415" s="63">
        <v>58440</v>
      </c>
      <c r="E415" s="63">
        <v>40</v>
      </c>
      <c r="F415" s="63" t="s">
        <v>10</v>
      </c>
      <c r="G415" s="63">
        <v>70.290000000000006</v>
      </c>
      <c r="H415" s="64">
        <v>25</v>
      </c>
      <c r="I415" s="5">
        <v>100</v>
      </c>
      <c r="J415" s="65" t="s">
        <v>42</v>
      </c>
      <c r="K415" s="66">
        <f t="shared" si="7"/>
        <v>1.414973347970818</v>
      </c>
    </row>
    <row r="416" spans="1:11" ht="15.75" x14ac:dyDescent="0.25">
      <c r="A416" s="62" t="s">
        <v>31</v>
      </c>
      <c r="B416" s="63">
        <v>20.48</v>
      </c>
      <c r="C416" s="63">
        <v>2500</v>
      </c>
      <c r="D416" s="63">
        <v>58440</v>
      </c>
      <c r="E416" s="63">
        <v>40</v>
      </c>
      <c r="F416" s="63" t="s">
        <v>10</v>
      </c>
      <c r="G416" s="63">
        <v>70.290000000000006</v>
      </c>
      <c r="H416" s="64">
        <v>31.3</v>
      </c>
      <c r="I416" s="5">
        <v>97</v>
      </c>
      <c r="J416" s="65" t="s">
        <v>42</v>
      </c>
      <c r="K416" s="66">
        <f t="shared" si="7"/>
        <v>1.5092025223311027</v>
      </c>
    </row>
    <row r="417" spans="1:11" ht="15.75" x14ac:dyDescent="0.25">
      <c r="A417" s="62" t="s">
        <v>31</v>
      </c>
      <c r="B417" s="63">
        <v>25.15</v>
      </c>
      <c r="C417" s="63">
        <v>100</v>
      </c>
      <c r="D417" s="63">
        <v>58440</v>
      </c>
      <c r="E417" s="63">
        <v>40</v>
      </c>
      <c r="F417" s="63" t="s">
        <v>26</v>
      </c>
      <c r="G417" s="63">
        <v>31.21</v>
      </c>
      <c r="H417" s="64">
        <v>4.9000000000000004</v>
      </c>
      <c r="I417" s="5">
        <v>100</v>
      </c>
      <c r="J417" s="65" t="s">
        <v>42</v>
      </c>
      <c r="K417" s="66">
        <f t="shared" si="7"/>
        <v>0.77085201164214423</v>
      </c>
    </row>
    <row r="418" spans="1:11" ht="15.75" x14ac:dyDescent="0.25">
      <c r="A418" s="62" t="s">
        <v>31</v>
      </c>
      <c r="B418" s="63">
        <v>25.15</v>
      </c>
      <c r="C418" s="63">
        <v>500</v>
      </c>
      <c r="D418" s="63">
        <v>58440</v>
      </c>
      <c r="E418" s="63">
        <v>40</v>
      </c>
      <c r="F418" s="63" t="s">
        <v>26</v>
      </c>
      <c r="G418" s="63">
        <v>31.21</v>
      </c>
      <c r="H418" s="64">
        <v>24.2</v>
      </c>
      <c r="I418" s="5">
        <v>100</v>
      </c>
      <c r="J418" s="65" t="s">
        <v>42</v>
      </c>
      <c r="K418" s="66">
        <f t="shared" si="7"/>
        <v>1.4014005407815442</v>
      </c>
    </row>
    <row r="419" spans="1:11" ht="15.75" x14ac:dyDescent="0.25">
      <c r="A419" s="62" t="s">
        <v>31</v>
      </c>
      <c r="B419" s="63">
        <v>25.15</v>
      </c>
      <c r="C419" s="63">
        <v>1000</v>
      </c>
      <c r="D419" s="63">
        <v>58440</v>
      </c>
      <c r="E419" s="63">
        <v>40</v>
      </c>
      <c r="F419" s="63" t="s">
        <v>26</v>
      </c>
      <c r="G419" s="63">
        <v>31.21</v>
      </c>
      <c r="H419" s="64">
        <v>48.5</v>
      </c>
      <c r="I419" s="5">
        <v>100</v>
      </c>
      <c r="J419" s="65" t="s">
        <v>42</v>
      </c>
      <c r="K419" s="66">
        <f t="shared" si="7"/>
        <v>1.6946051989335686</v>
      </c>
    </row>
    <row r="420" spans="1:11" ht="15.75" x14ac:dyDescent="0.25">
      <c r="A420" s="62" t="s">
        <v>31</v>
      </c>
      <c r="B420" s="63">
        <v>25.15</v>
      </c>
      <c r="C420" s="63">
        <v>1500</v>
      </c>
      <c r="D420" s="63">
        <v>58440</v>
      </c>
      <c r="E420" s="63">
        <v>40</v>
      </c>
      <c r="F420" s="63" t="s">
        <v>26</v>
      </c>
      <c r="G420" s="63">
        <v>31.21</v>
      </c>
      <c r="H420" s="64">
        <v>72.7</v>
      </c>
      <c r="I420" s="5">
        <v>100</v>
      </c>
      <c r="J420" s="65" t="s">
        <v>42</v>
      </c>
      <c r="K420" s="66">
        <f t="shared" si="7"/>
        <v>1.8674674878590516</v>
      </c>
    </row>
    <row r="421" spans="1:11" ht="15.75" x14ac:dyDescent="0.25">
      <c r="A421" s="62" t="s">
        <v>31</v>
      </c>
      <c r="B421" s="63">
        <v>25.15</v>
      </c>
      <c r="C421" s="63">
        <v>2000</v>
      </c>
      <c r="D421" s="63">
        <v>58440</v>
      </c>
      <c r="E421" s="63">
        <v>40</v>
      </c>
      <c r="F421" s="63" t="s">
        <v>26</v>
      </c>
      <c r="G421" s="63">
        <v>31.21</v>
      </c>
      <c r="H421" s="64">
        <v>97</v>
      </c>
      <c r="I421" s="5">
        <v>100</v>
      </c>
      <c r="J421" s="65" t="s">
        <v>42</v>
      </c>
      <c r="K421" s="66">
        <f t="shared" si="7"/>
        <v>1.9912260756924949</v>
      </c>
    </row>
    <row r="422" spans="1:11" ht="15.75" x14ac:dyDescent="0.25">
      <c r="A422" s="62" t="s">
        <v>31</v>
      </c>
      <c r="B422" s="63">
        <v>25.15</v>
      </c>
      <c r="C422" s="63">
        <v>2500</v>
      </c>
      <c r="D422" s="63">
        <v>58440</v>
      </c>
      <c r="E422" s="63">
        <v>40</v>
      </c>
      <c r="F422" s="63" t="s">
        <v>26</v>
      </c>
      <c r="G422" s="63">
        <v>31.21</v>
      </c>
      <c r="H422" s="64">
        <v>121.3</v>
      </c>
      <c r="I422" s="5">
        <v>100</v>
      </c>
      <c r="J422" s="65" t="s">
        <v>42</v>
      </c>
      <c r="K422" s="66">
        <f t="shared" si="7"/>
        <v>2.0874264570362855</v>
      </c>
    </row>
    <row r="423" spans="1:11" ht="15.75" x14ac:dyDescent="0.25">
      <c r="A423" s="62" t="s">
        <v>31</v>
      </c>
      <c r="B423" s="63">
        <v>15.72</v>
      </c>
      <c r="C423" s="63">
        <v>100</v>
      </c>
      <c r="D423" s="63">
        <v>58440</v>
      </c>
      <c r="E423" s="63">
        <v>40</v>
      </c>
      <c r="F423" s="63" t="s">
        <v>10</v>
      </c>
      <c r="G423" s="63">
        <v>31.21</v>
      </c>
      <c r="H423" s="64">
        <v>0.2</v>
      </c>
      <c r="I423" s="5">
        <v>100</v>
      </c>
      <c r="J423" s="65" t="s">
        <v>42</v>
      </c>
      <c r="K423" s="66">
        <f t="shared" si="7"/>
        <v>7.9181246047624818E-2</v>
      </c>
    </row>
    <row r="424" spans="1:11" ht="15.75" x14ac:dyDescent="0.25">
      <c r="A424" s="62" t="s">
        <v>31</v>
      </c>
      <c r="B424" s="63">
        <v>15.72</v>
      </c>
      <c r="C424" s="63">
        <v>500</v>
      </c>
      <c r="D424" s="63">
        <v>58440</v>
      </c>
      <c r="E424" s="63">
        <v>40</v>
      </c>
      <c r="F424" s="63" t="s">
        <v>10</v>
      </c>
      <c r="G424" s="63">
        <v>31.21</v>
      </c>
      <c r="H424" s="64">
        <v>1.1000000000000001</v>
      </c>
      <c r="I424" s="5">
        <v>100</v>
      </c>
      <c r="J424" s="65" t="s">
        <v>42</v>
      </c>
      <c r="K424" s="66">
        <f t="shared" si="7"/>
        <v>0.3222192947339193</v>
      </c>
    </row>
    <row r="425" spans="1:11" ht="15.75" x14ac:dyDescent="0.25">
      <c r="A425" s="62" t="s">
        <v>31</v>
      </c>
      <c r="B425" s="63">
        <v>15.72</v>
      </c>
      <c r="C425" s="63">
        <v>1000</v>
      </c>
      <c r="D425" s="63">
        <v>58440</v>
      </c>
      <c r="E425" s="63">
        <v>40</v>
      </c>
      <c r="F425" s="63" t="s">
        <v>10</v>
      </c>
      <c r="G425" s="63">
        <v>31.21</v>
      </c>
      <c r="H425" s="64">
        <v>2.2000000000000002</v>
      </c>
      <c r="I425" s="5">
        <v>100</v>
      </c>
      <c r="J425" s="65" t="s">
        <v>42</v>
      </c>
      <c r="K425" s="66">
        <f t="shared" si="7"/>
        <v>0.50514997831990605</v>
      </c>
    </row>
    <row r="426" spans="1:11" ht="15.75" x14ac:dyDescent="0.25">
      <c r="A426" s="62" t="s">
        <v>31</v>
      </c>
      <c r="B426" s="63">
        <v>15.72</v>
      </c>
      <c r="C426" s="63">
        <v>1500</v>
      </c>
      <c r="D426" s="63">
        <v>58440</v>
      </c>
      <c r="E426" s="63">
        <v>40</v>
      </c>
      <c r="F426" s="63" t="s">
        <v>10</v>
      </c>
      <c r="G426" s="63">
        <v>31.21</v>
      </c>
      <c r="H426" s="64">
        <v>3.2</v>
      </c>
      <c r="I426" s="5">
        <v>100</v>
      </c>
      <c r="J426" s="65" t="s">
        <v>42</v>
      </c>
      <c r="K426" s="66">
        <f t="shared" si="7"/>
        <v>0.62324929039790045</v>
      </c>
    </row>
    <row r="427" spans="1:11" ht="15.75" x14ac:dyDescent="0.25">
      <c r="A427" s="62" t="s">
        <v>31</v>
      </c>
      <c r="B427" s="63">
        <v>15.72</v>
      </c>
      <c r="C427" s="63">
        <v>2000</v>
      </c>
      <c r="D427" s="63">
        <v>58440</v>
      </c>
      <c r="E427" s="63">
        <v>40</v>
      </c>
      <c r="F427" s="63" t="s">
        <v>10</v>
      </c>
      <c r="G427" s="63">
        <v>31.21</v>
      </c>
      <c r="H427" s="64">
        <v>4.3</v>
      </c>
      <c r="I427" s="5">
        <v>100</v>
      </c>
      <c r="J427" s="65" t="s">
        <v>42</v>
      </c>
      <c r="K427" s="66">
        <f t="shared" si="7"/>
        <v>0.72427586960078905</v>
      </c>
    </row>
    <row r="428" spans="1:11" ht="15.75" x14ac:dyDescent="0.25">
      <c r="A428" s="62" t="s">
        <v>31</v>
      </c>
      <c r="B428" s="63">
        <v>15.72</v>
      </c>
      <c r="C428" s="63">
        <v>2500</v>
      </c>
      <c r="D428" s="63">
        <v>58440</v>
      </c>
      <c r="E428" s="63">
        <v>40</v>
      </c>
      <c r="F428" s="63" t="s">
        <v>10</v>
      </c>
      <c r="G428" s="63">
        <v>31.21</v>
      </c>
      <c r="H428" s="64">
        <v>5.4</v>
      </c>
      <c r="I428" s="5">
        <v>100</v>
      </c>
      <c r="J428" s="65" t="s">
        <v>42</v>
      </c>
      <c r="K428" s="66">
        <f t="shared" si="7"/>
        <v>0.80617997398388719</v>
      </c>
    </row>
    <row r="429" spans="1:11" ht="15.75" x14ac:dyDescent="0.25">
      <c r="A429" s="62" t="s">
        <v>31</v>
      </c>
      <c r="B429" s="63">
        <v>45.57</v>
      </c>
      <c r="C429" s="63">
        <v>100</v>
      </c>
      <c r="D429" s="63">
        <v>58440</v>
      </c>
      <c r="E429" s="63">
        <v>40</v>
      </c>
      <c r="F429" s="63" t="s">
        <v>26</v>
      </c>
      <c r="G429" s="63">
        <v>34.880000000000003</v>
      </c>
      <c r="H429" s="64">
        <v>17.5</v>
      </c>
      <c r="I429" s="5">
        <v>100</v>
      </c>
      <c r="J429" s="65" t="s">
        <v>42</v>
      </c>
      <c r="K429" s="66">
        <f t="shared" si="7"/>
        <v>1.2671717284030137</v>
      </c>
    </row>
    <row r="430" spans="1:11" ht="15.75" x14ac:dyDescent="0.25">
      <c r="A430" s="62" t="s">
        <v>31</v>
      </c>
      <c r="B430" s="63">
        <v>45.57</v>
      </c>
      <c r="C430" s="63">
        <v>500</v>
      </c>
      <c r="D430" s="63">
        <v>58440</v>
      </c>
      <c r="E430" s="63">
        <v>40</v>
      </c>
      <c r="F430" s="63" t="s">
        <v>26</v>
      </c>
      <c r="G430" s="63">
        <v>34.880000000000003</v>
      </c>
      <c r="H430" s="64">
        <v>87.4</v>
      </c>
      <c r="I430" s="5">
        <v>100</v>
      </c>
      <c r="J430" s="65" t="s">
        <v>42</v>
      </c>
      <c r="K430" s="66">
        <f t="shared" si="7"/>
        <v>1.9464522650130731</v>
      </c>
    </row>
    <row r="431" spans="1:11" ht="15.75" x14ac:dyDescent="0.25">
      <c r="A431" s="62" t="s">
        <v>31</v>
      </c>
      <c r="B431" s="63">
        <v>45.57</v>
      </c>
      <c r="C431" s="63">
        <v>1000</v>
      </c>
      <c r="D431" s="63">
        <v>58440</v>
      </c>
      <c r="E431" s="63">
        <v>40</v>
      </c>
      <c r="F431" s="63" t="s">
        <v>26</v>
      </c>
      <c r="G431" s="63">
        <v>34.880000000000003</v>
      </c>
      <c r="H431" s="64">
        <v>174.8</v>
      </c>
      <c r="I431" s="5">
        <v>97</v>
      </c>
      <c r="J431" s="65" t="s">
        <v>42</v>
      </c>
      <c r="K431" s="66">
        <f t="shared" si="7"/>
        <v>2.245018870737753</v>
      </c>
    </row>
    <row r="432" spans="1:11" ht="15.75" x14ac:dyDescent="0.25">
      <c r="A432" s="62" t="s">
        <v>31</v>
      </c>
      <c r="B432" s="63">
        <v>45.57</v>
      </c>
      <c r="C432" s="63">
        <v>1500</v>
      </c>
      <c r="D432" s="63">
        <v>58440</v>
      </c>
      <c r="E432" s="63">
        <v>40</v>
      </c>
      <c r="F432" s="63" t="s">
        <v>26</v>
      </c>
      <c r="G432" s="63">
        <v>34.880000000000003</v>
      </c>
      <c r="H432" s="64">
        <v>262.2</v>
      </c>
      <c r="I432" s="5">
        <v>83</v>
      </c>
      <c r="J432" s="65" t="s">
        <v>42</v>
      </c>
      <c r="K432" s="66">
        <f t="shared" si="7"/>
        <v>2.4202858849419178</v>
      </c>
    </row>
    <row r="433" spans="1:11" ht="15.75" x14ac:dyDescent="0.25">
      <c r="A433" s="62" t="s">
        <v>31</v>
      </c>
      <c r="B433" s="63">
        <v>45.57</v>
      </c>
      <c r="C433" s="63">
        <v>2000</v>
      </c>
      <c r="D433" s="63">
        <v>58440</v>
      </c>
      <c r="E433" s="63">
        <v>40</v>
      </c>
      <c r="F433" s="63" t="s">
        <v>26</v>
      </c>
      <c r="G433" s="63">
        <v>34.880000000000003</v>
      </c>
      <c r="H433" s="64">
        <v>349.6</v>
      </c>
      <c r="I433" s="5">
        <v>77</v>
      </c>
      <c r="J433" s="65" t="s">
        <v>42</v>
      </c>
      <c r="K433" s="66">
        <f t="shared" si="7"/>
        <v>2.5448119117577761</v>
      </c>
    </row>
    <row r="434" spans="1:11" ht="15.75" x14ac:dyDescent="0.25">
      <c r="A434" s="62" t="s">
        <v>31</v>
      </c>
      <c r="B434" s="63">
        <v>45.57</v>
      </c>
      <c r="C434" s="63">
        <v>2500</v>
      </c>
      <c r="D434" s="63">
        <v>58440</v>
      </c>
      <c r="E434" s="63">
        <v>40</v>
      </c>
      <c r="F434" s="63" t="s">
        <v>26</v>
      </c>
      <c r="G434" s="63">
        <v>34.880000000000003</v>
      </c>
      <c r="H434" s="64">
        <v>437</v>
      </c>
      <c r="I434" s="5">
        <v>77</v>
      </c>
      <c r="J434" s="65" t="s">
        <v>42</v>
      </c>
      <c r="K434" s="66">
        <f t="shared" si="7"/>
        <v>2.6414741105040997</v>
      </c>
    </row>
    <row r="435" spans="1:11" ht="15.75" x14ac:dyDescent="0.25">
      <c r="A435" s="62" t="s">
        <v>31</v>
      </c>
      <c r="B435" s="63">
        <v>35.31</v>
      </c>
      <c r="C435" s="63">
        <v>100</v>
      </c>
      <c r="D435" s="63">
        <v>58440</v>
      </c>
      <c r="E435" s="63">
        <v>40</v>
      </c>
      <c r="F435" s="63" t="s">
        <v>10</v>
      </c>
      <c r="G435" s="63">
        <v>34.880000000000003</v>
      </c>
      <c r="H435" s="64">
        <v>6.3</v>
      </c>
      <c r="I435" s="5">
        <v>100</v>
      </c>
      <c r="J435" s="65" t="s">
        <v>42</v>
      </c>
      <c r="K435" s="66">
        <f t="shared" si="7"/>
        <v>0.86332286012045589</v>
      </c>
    </row>
    <row r="436" spans="1:11" ht="15.75" x14ac:dyDescent="0.25">
      <c r="A436" s="62" t="s">
        <v>31</v>
      </c>
      <c r="B436" s="63">
        <v>35.31</v>
      </c>
      <c r="C436" s="63">
        <v>500</v>
      </c>
      <c r="D436" s="63">
        <v>58440</v>
      </c>
      <c r="E436" s="63">
        <v>40</v>
      </c>
      <c r="F436" s="63" t="s">
        <v>10</v>
      </c>
      <c r="G436" s="63">
        <v>34.880000000000003</v>
      </c>
      <c r="H436" s="64">
        <v>31.4</v>
      </c>
      <c r="I436" s="5">
        <v>100</v>
      </c>
      <c r="J436" s="65" t="s">
        <v>42</v>
      </c>
      <c r="K436" s="66">
        <f t="shared" si="7"/>
        <v>1.510545010206612</v>
      </c>
    </row>
    <row r="437" spans="1:11" ht="15.75" x14ac:dyDescent="0.25">
      <c r="A437" s="62" t="s">
        <v>31</v>
      </c>
      <c r="B437" s="63">
        <v>35.31</v>
      </c>
      <c r="C437" s="63">
        <v>1000</v>
      </c>
      <c r="D437" s="63">
        <v>58440</v>
      </c>
      <c r="E437" s="63">
        <v>40</v>
      </c>
      <c r="F437" s="63" t="s">
        <v>10</v>
      </c>
      <c r="G437" s="63">
        <v>34.880000000000003</v>
      </c>
      <c r="H437" s="64">
        <v>62.9</v>
      </c>
      <c r="I437" s="5">
        <v>100</v>
      </c>
      <c r="J437" s="65" t="s">
        <v>42</v>
      </c>
      <c r="K437" s="66">
        <f t="shared" si="7"/>
        <v>1.8055008581584002</v>
      </c>
    </row>
    <row r="438" spans="1:11" ht="15.75" x14ac:dyDescent="0.25">
      <c r="A438" s="62" t="s">
        <v>31</v>
      </c>
      <c r="B438" s="63">
        <v>35.31</v>
      </c>
      <c r="C438" s="63">
        <v>1500</v>
      </c>
      <c r="D438" s="63">
        <v>58440</v>
      </c>
      <c r="E438" s="63">
        <v>40</v>
      </c>
      <c r="F438" s="63" t="s">
        <v>10</v>
      </c>
      <c r="G438" s="63">
        <v>34.880000000000003</v>
      </c>
      <c r="H438" s="64">
        <v>94.4</v>
      </c>
      <c r="I438" s="5">
        <v>97</v>
      </c>
      <c r="J438" s="65" t="s">
        <v>42</v>
      </c>
      <c r="K438" s="66">
        <f t="shared" si="7"/>
        <v>1.9795483747040952</v>
      </c>
    </row>
    <row r="439" spans="1:11" ht="15.75" x14ac:dyDescent="0.25">
      <c r="A439" s="62" t="s">
        <v>31</v>
      </c>
      <c r="B439" s="63">
        <v>35.31</v>
      </c>
      <c r="C439" s="63">
        <v>2000</v>
      </c>
      <c r="D439" s="63">
        <v>58440</v>
      </c>
      <c r="E439" s="63">
        <v>40</v>
      </c>
      <c r="F439" s="63" t="s">
        <v>10</v>
      </c>
      <c r="G439" s="63">
        <v>34.880000000000003</v>
      </c>
      <c r="H439" s="64">
        <v>125.8</v>
      </c>
      <c r="I439" s="5">
        <v>97</v>
      </c>
      <c r="J439" s="65" t="s">
        <v>42</v>
      </c>
      <c r="K439" s="66">
        <f t="shared" si="7"/>
        <v>2.1031192535457137</v>
      </c>
    </row>
    <row r="440" spans="1:11" ht="15.75" x14ac:dyDescent="0.25">
      <c r="A440" s="62" t="s">
        <v>31</v>
      </c>
      <c r="B440" s="63">
        <v>35.31</v>
      </c>
      <c r="C440" s="63">
        <v>2500</v>
      </c>
      <c r="D440" s="63">
        <v>58440</v>
      </c>
      <c r="E440" s="63">
        <v>40</v>
      </c>
      <c r="F440" s="63" t="s">
        <v>10</v>
      </c>
      <c r="G440" s="63">
        <v>34.880000000000003</v>
      </c>
      <c r="H440" s="64">
        <v>157.30000000000001</v>
      </c>
      <c r="I440" s="5">
        <v>93</v>
      </c>
      <c r="J440" s="65" t="s">
        <v>42</v>
      </c>
      <c r="K440" s="66">
        <f t="shared" si="7"/>
        <v>2.199480914862356</v>
      </c>
    </row>
    <row r="441" spans="1:11" ht="15.75" x14ac:dyDescent="0.25">
      <c r="A441" s="62" t="s">
        <v>31</v>
      </c>
      <c r="B441" s="63">
        <v>71.89</v>
      </c>
      <c r="C441" s="63">
        <v>100</v>
      </c>
      <c r="D441" s="63">
        <v>58440</v>
      </c>
      <c r="E441" s="63">
        <v>40</v>
      </c>
      <c r="F441" s="63" t="s">
        <v>26</v>
      </c>
      <c r="G441" s="63">
        <v>37.29</v>
      </c>
      <c r="H441" s="64">
        <v>64.5</v>
      </c>
      <c r="I441" s="5">
        <v>97</v>
      </c>
      <c r="J441" s="65" t="s">
        <v>42</v>
      </c>
      <c r="K441" s="66">
        <f t="shared" si="7"/>
        <v>1.816241299991783</v>
      </c>
    </row>
    <row r="442" spans="1:11" ht="15.75" x14ac:dyDescent="0.25">
      <c r="A442" s="62" t="s">
        <v>31</v>
      </c>
      <c r="B442" s="63">
        <v>71.89</v>
      </c>
      <c r="C442" s="63">
        <v>500</v>
      </c>
      <c r="D442" s="63">
        <v>58440</v>
      </c>
      <c r="E442" s="63">
        <v>40</v>
      </c>
      <c r="F442" s="63" t="s">
        <v>26</v>
      </c>
      <c r="G442" s="63">
        <v>37.29</v>
      </c>
      <c r="H442" s="64">
        <v>322.3</v>
      </c>
      <c r="I442" s="5">
        <v>87</v>
      </c>
      <c r="J442" s="65" t="s">
        <v>42</v>
      </c>
      <c r="K442" s="66">
        <f t="shared" si="7"/>
        <v>2.5096057046115563</v>
      </c>
    </row>
    <row r="443" spans="1:11" ht="15.75" x14ac:dyDescent="0.25">
      <c r="A443" s="62" t="s">
        <v>31</v>
      </c>
      <c r="B443" s="63">
        <v>71.89</v>
      </c>
      <c r="C443" s="63">
        <v>1000</v>
      </c>
      <c r="D443" s="63">
        <v>58440</v>
      </c>
      <c r="E443" s="63">
        <v>40</v>
      </c>
      <c r="F443" s="63" t="s">
        <v>26</v>
      </c>
      <c r="G443" s="63">
        <v>37.29</v>
      </c>
      <c r="H443" s="64">
        <v>644.70000000000005</v>
      </c>
      <c r="I443" s="5">
        <v>83</v>
      </c>
      <c r="J443" s="65" t="s">
        <v>42</v>
      </c>
      <c r="K443" s="66">
        <f t="shared" si="7"/>
        <v>2.8100307864058394</v>
      </c>
    </row>
    <row r="444" spans="1:11" ht="15.75" x14ac:dyDescent="0.25">
      <c r="A444" s="62" t="s">
        <v>31</v>
      </c>
      <c r="B444" s="63">
        <v>71.89</v>
      </c>
      <c r="C444" s="63">
        <v>1500</v>
      </c>
      <c r="D444" s="63">
        <v>58440</v>
      </c>
      <c r="E444" s="63">
        <v>40</v>
      </c>
      <c r="F444" s="63" t="s">
        <v>26</v>
      </c>
      <c r="G444" s="63">
        <v>37.29</v>
      </c>
      <c r="H444" s="64">
        <v>967</v>
      </c>
      <c r="I444" s="5">
        <v>77</v>
      </c>
      <c r="J444" s="65" t="s">
        <v>42</v>
      </c>
      <c r="K444" s="66">
        <f t="shared" si="7"/>
        <v>2.9858753573083936</v>
      </c>
    </row>
    <row r="445" spans="1:11" ht="15.75" x14ac:dyDescent="0.25">
      <c r="A445" s="62" t="s">
        <v>31</v>
      </c>
      <c r="B445" s="63">
        <v>71.89</v>
      </c>
      <c r="C445" s="63">
        <v>2000</v>
      </c>
      <c r="D445" s="63">
        <v>58440</v>
      </c>
      <c r="E445" s="63">
        <v>40</v>
      </c>
      <c r="F445" s="63" t="s">
        <v>26</v>
      </c>
      <c r="G445" s="63">
        <v>37.29</v>
      </c>
      <c r="H445" s="64">
        <v>1289.4000000000001</v>
      </c>
      <c r="I445" s="5">
        <v>77</v>
      </c>
      <c r="J445" s="65" t="s">
        <v>42</v>
      </c>
      <c r="K445" s="66">
        <f t="shared" si="7"/>
        <v>3.1107243543809053</v>
      </c>
    </row>
    <row r="446" spans="1:11" ht="15.75" x14ac:dyDescent="0.25">
      <c r="A446" s="62" t="s">
        <v>31</v>
      </c>
      <c r="B446" s="63">
        <v>71.89</v>
      </c>
      <c r="C446" s="63">
        <v>2500</v>
      </c>
      <c r="D446" s="63">
        <v>58440</v>
      </c>
      <c r="E446" s="63">
        <v>40</v>
      </c>
      <c r="F446" s="63" t="s">
        <v>26</v>
      </c>
      <c r="G446" s="63">
        <v>37.29</v>
      </c>
      <c r="H446" s="64">
        <v>1611.7</v>
      </c>
      <c r="I446" s="5">
        <v>70</v>
      </c>
      <c r="J446" s="65" t="s">
        <v>42</v>
      </c>
      <c r="K446" s="66">
        <f t="shared" si="7"/>
        <v>3.2075535859493072</v>
      </c>
    </row>
    <row r="447" spans="1:11" ht="15.75" x14ac:dyDescent="0.25">
      <c r="A447" s="62" t="s">
        <v>31</v>
      </c>
      <c r="B447" s="63">
        <v>59.9</v>
      </c>
      <c r="C447" s="63">
        <v>100</v>
      </c>
      <c r="D447" s="63">
        <v>58440</v>
      </c>
      <c r="E447" s="63">
        <v>40</v>
      </c>
      <c r="F447" s="63" t="s">
        <v>10</v>
      </c>
      <c r="G447" s="63">
        <v>37.29</v>
      </c>
      <c r="H447" s="64">
        <v>34.799999999999997</v>
      </c>
      <c r="I447" s="5">
        <v>97</v>
      </c>
      <c r="J447" s="65" t="s">
        <v>42</v>
      </c>
      <c r="K447" s="66">
        <f t="shared" si="7"/>
        <v>1.5538830266438743</v>
      </c>
    </row>
    <row r="448" spans="1:11" ht="15.75" x14ac:dyDescent="0.25">
      <c r="A448" s="62" t="s">
        <v>31</v>
      </c>
      <c r="B448" s="63">
        <v>59.9</v>
      </c>
      <c r="C448" s="63">
        <v>500</v>
      </c>
      <c r="D448" s="63">
        <v>58440</v>
      </c>
      <c r="E448" s="63">
        <v>40</v>
      </c>
      <c r="F448" s="63" t="s">
        <v>10</v>
      </c>
      <c r="G448" s="63">
        <v>37.29</v>
      </c>
      <c r="H448" s="64">
        <v>174.1</v>
      </c>
      <c r="I448" s="5">
        <v>93</v>
      </c>
      <c r="J448" s="65" t="s">
        <v>42</v>
      </c>
      <c r="K448" s="66">
        <f t="shared" si="7"/>
        <v>2.2432861460834461</v>
      </c>
    </row>
    <row r="449" spans="1:11" ht="15.75" x14ac:dyDescent="0.25">
      <c r="A449" s="62" t="s">
        <v>31</v>
      </c>
      <c r="B449" s="63">
        <v>59.9</v>
      </c>
      <c r="C449" s="63">
        <v>1000</v>
      </c>
      <c r="D449" s="63">
        <v>58440</v>
      </c>
      <c r="E449" s="63">
        <v>40</v>
      </c>
      <c r="F449" s="63" t="s">
        <v>10</v>
      </c>
      <c r="G449" s="63">
        <v>37.29</v>
      </c>
      <c r="H449" s="64">
        <v>348.1</v>
      </c>
      <c r="I449" s="5">
        <v>87</v>
      </c>
      <c r="J449" s="65" t="s">
        <v>42</v>
      </c>
      <c r="K449" s="66">
        <f t="shared" si="7"/>
        <v>2.5429498488141786</v>
      </c>
    </row>
    <row r="450" spans="1:11" ht="15.75" x14ac:dyDescent="0.25">
      <c r="A450" s="62" t="s">
        <v>31</v>
      </c>
      <c r="B450" s="63">
        <v>59.9</v>
      </c>
      <c r="C450" s="63">
        <v>1500</v>
      </c>
      <c r="D450" s="63">
        <v>58440</v>
      </c>
      <c r="E450" s="63">
        <v>40</v>
      </c>
      <c r="F450" s="63" t="s">
        <v>10</v>
      </c>
      <c r="G450" s="63">
        <v>37.29</v>
      </c>
      <c r="H450" s="64">
        <v>522.20000000000005</v>
      </c>
      <c r="I450" s="5">
        <v>87</v>
      </c>
      <c r="J450" s="65" t="s">
        <v>42</v>
      </c>
      <c r="K450" s="66">
        <f t="shared" si="7"/>
        <v>2.718667735316211</v>
      </c>
    </row>
    <row r="451" spans="1:11" ht="15.75" x14ac:dyDescent="0.25">
      <c r="A451" s="62" t="s">
        <v>31</v>
      </c>
      <c r="B451" s="63">
        <v>59.9</v>
      </c>
      <c r="C451" s="63">
        <v>2000</v>
      </c>
      <c r="D451" s="63">
        <v>58440</v>
      </c>
      <c r="E451" s="63">
        <v>40</v>
      </c>
      <c r="F451" s="63" t="s">
        <v>10</v>
      </c>
      <c r="G451" s="63">
        <v>37.29</v>
      </c>
      <c r="H451" s="64">
        <v>696.2</v>
      </c>
      <c r="I451" s="5">
        <v>83</v>
      </c>
      <c r="J451" s="65" t="s">
        <v>42</v>
      </c>
      <c r="K451" s="66">
        <f t="shared" si="7"/>
        <v>2.8433573784379558</v>
      </c>
    </row>
    <row r="452" spans="1:11" ht="16.5" thickBot="1" x14ac:dyDescent="0.3">
      <c r="A452" s="62" t="s">
        <v>31</v>
      </c>
      <c r="B452" s="63">
        <v>59.9</v>
      </c>
      <c r="C452" s="63">
        <v>2500</v>
      </c>
      <c r="D452" s="63">
        <v>58440</v>
      </c>
      <c r="E452" s="63">
        <v>40</v>
      </c>
      <c r="F452" s="63" t="s">
        <v>10</v>
      </c>
      <c r="G452" s="63">
        <v>37.29</v>
      </c>
      <c r="H452" s="64">
        <v>870.3</v>
      </c>
      <c r="I452" s="5">
        <v>77</v>
      </c>
      <c r="J452" s="65" t="s">
        <v>42</v>
      </c>
      <c r="K452" s="66">
        <f t="shared" si="7"/>
        <v>2.9401677140340747</v>
      </c>
    </row>
    <row r="453" spans="1:11" ht="32.25" thickBot="1" x14ac:dyDescent="0.3">
      <c r="A453" s="67" t="s">
        <v>11</v>
      </c>
      <c r="B453" s="68">
        <v>63.62</v>
      </c>
      <c r="C453" s="68">
        <v>100</v>
      </c>
      <c r="D453" s="69">
        <v>11688</v>
      </c>
      <c r="E453" s="68">
        <v>26.85</v>
      </c>
      <c r="F453" s="68" t="s">
        <v>26</v>
      </c>
      <c r="G453" s="68">
        <v>7.07</v>
      </c>
      <c r="H453" s="72">
        <v>50.8</v>
      </c>
      <c r="I453" s="74">
        <v>100</v>
      </c>
      <c r="J453" s="68" t="s">
        <v>43</v>
      </c>
      <c r="K453" s="72">
        <v>1.71</v>
      </c>
    </row>
    <row r="454" spans="1:11" ht="32.25" thickBot="1" x14ac:dyDescent="0.3">
      <c r="A454" s="67" t="s">
        <v>11</v>
      </c>
      <c r="B454" s="70">
        <v>95.03</v>
      </c>
      <c r="C454" s="70">
        <v>100</v>
      </c>
      <c r="D454" s="71">
        <v>11688</v>
      </c>
      <c r="E454" s="70">
        <v>26.85</v>
      </c>
      <c r="F454" s="70" t="s">
        <v>26</v>
      </c>
      <c r="G454" s="70">
        <v>10.56</v>
      </c>
      <c r="H454" s="73">
        <v>82.8</v>
      </c>
      <c r="I454" s="75">
        <v>100</v>
      </c>
      <c r="J454" s="70" t="s">
        <v>43</v>
      </c>
      <c r="K454" s="73">
        <v>1.92</v>
      </c>
    </row>
    <row r="455" spans="1:11" ht="32.25" thickBot="1" x14ac:dyDescent="0.3">
      <c r="A455" s="67" t="s">
        <v>11</v>
      </c>
      <c r="B455" s="70">
        <v>132.72999999999999</v>
      </c>
      <c r="C455" s="70">
        <v>100</v>
      </c>
      <c r="D455" s="71">
        <v>11688</v>
      </c>
      <c r="E455" s="70">
        <v>26.85</v>
      </c>
      <c r="F455" s="70" t="s">
        <v>26</v>
      </c>
      <c r="G455" s="70">
        <v>14.75</v>
      </c>
      <c r="H455" s="73">
        <v>118.8</v>
      </c>
      <c r="I455" s="75">
        <v>100</v>
      </c>
      <c r="J455" s="70" t="s">
        <v>43</v>
      </c>
      <c r="K455" s="73">
        <v>2.08</v>
      </c>
    </row>
    <row r="456" spans="1:11" ht="32.25" thickBot="1" x14ac:dyDescent="0.3">
      <c r="A456" s="67" t="s">
        <v>11</v>
      </c>
      <c r="B456" s="70">
        <v>176.71</v>
      </c>
      <c r="C456" s="70">
        <v>100</v>
      </c>
      <c r="D456" s="71">
        <v>11688</v>
      </c>
      <c r="E456" s="70">
        <v>26.85</v>
      </c>
      <c r="F456" s="70" t="s">
        <v>26</v>
      </c>
      <c r="G456" s="70">
        <v>19.63</v>
      </c>
      <c r="H456" s="73">
        <v>146.80000000000001</v>
      </c>
      <c r="I456" s="75">
        <v>92.78</v>
      </c>
      <c r="J456" s="70" t="s">
        <v>43</v>
      </c>
      <c r="K456" s="73">
        <v>2.17</v>
      </c>
    </row>
    <row r="457" spans="1:11" ht="32.25" thickBot="1" x14ac:dyDescent="0.3">
      <c r="A457" s="67" t="s">
        <v>11</v>
      </c>
      <c r="B457" s="70">
        <v>63.62</v>
      </c>
      <c r="C457" s="70">
        <v>150</v>
      </c>
      <c r="D457" s="71">
        <v>11688</v>
      </c>
      <c r="E457" s="70">
        <v>26.85</v>
      </c>
      <c r="F457" s="70" t="s">
        <v>26</v>
      </c>
      <c r="G457" s="70">
        <v>7.07</v>
      </c>
      <c r="H457" s="73">
        <v>81.8</v>
      </c>
      <c r="I457" s="75">
        <v>100</v>
      </c>
      <c r="J457" s="70" t="s">
        <v>43</v>
      </c>
      <c r="K457" s="73">
        <v>1.92</v>
      </c>
    </row>
    <row r="458" spans="1:11" ht="32.25" thickBot="1" x14ac:dyDescent="0.3">
      <c r="A458" s="67" t="s">
        <v>11</v>
      </c>
      <c r="B458" s="70">
        <v>63.62</v>
      </c>
      <c r="C458" s="70">
        <v>200</v>
      </c>
      <c r="D458" s="71">
        <v>11688</v>
      </c>
      <c r="E458" s="70">
        <v>26.85</v>
      </c>
      <c r="F458" s="70" t="s">
        <v>26</v>
      </c>
      <c r="G458" s="70">
        <v>7.07</v>
      </c>
      <c r="H458" s="73">
        <v>110.7</v>
      </c>
      <c r="I458" s="75">
        <v>100</v>
      </c>
      <c r="J458" s="70" t="s">
        <v>43</v>
      </c>
      <c r="K458" s="73">
        <v>2.0499999999999998</v>
      </c>
    </row>
    <row r="459" spans="1:11" ht="32.25" thickBot="1" x14ac:dyDescent="0.3">
      <c r="A459" s="67" t="s">
        <v>11</v>
      </c>
      <c r="B459" s="70">
        <v>95.03</v>
      </c>
      <c r="C459" s="70">
        <v>200</v>
      </c>
      <c r="D459" s="71">
        <v>11688</v>
      </c>
      <c r="E459" s="70">
        <v>26.85</v>
      </c>
      <c r="F459" s="70" t="s">
        <v>26</v>
      </c>
      <c r="G459" s="70">
        <v>10.56</v>
      </c>
      <c r="H459" s="77">
        <v>131.053</v>
      </c>
      <c r="I459" s="75">
        <v>96.66</v>
      </c>
      <c r="J459" s="70" t="s">
        <v>43</v>
      </c>
      <c r="K459" s="77">
        <v>2.1206999999999998</v>
      </c>
    </row>
    <row r="460" spans="1:11" ht="32.25" thickBot="1" x14ac:dyDescent="0.3">
      <c r="A460" s="67" t="s">
        <v>11</v>
      </c>
      <c r="B460" s="70">
        <v>132.72999999999999</v>
      </c>
      <c r="C460" s="70">
        <v>150</v>
      </c>
      <c r="D460" s="71">
        <v>11688</v>
      </c>
      <c r="E460" s="70">
        <v>26.85</v>
      </c>
      <c r="F460" s="70" t="s">
        <v>26</v>
      </c>
      <c r="G460" s="70">
        <v>14.75</v>
      </c>
      <c r="H460" s="73">
        <v>146.19999999999999</v>
      </c>
      <c r="I460" s="76">
        <v>99.22</v>
      </c>
      <c r="J460" s="70" t="s">
        <v>43</v>
      </c>
      <c r="K460" s="73">
        <v>2.17</v>
      </c>
    </row>
    <row r="461" spans="1:11" ht="32.25" thickBot="1" x14ac:dyDescent="0.3">
      <c r="A461" s="67" t="s">
        <v>11</v>
      </c>
      <c r="B461" s="70">
        <v>132.72999999999999</v>
      </c>
      <c r="C461" s="70">
        <v>200</v>
      </c>
      <c r="D461" s="71">
        <v>11688</v>
      </c>
      <c r="E461" s="70">
        <v>26.85</v>
      </c>
      <c r="F461" s="70" t="s">
        <v>26</v>
      </c>
      <c r="G461" s="70">
        <v>14.75</v>
      </c>
      <c r="H461" s="73">
        <v>161.9</v>
      </c>
      <c r="I461" s="75">
        <v>95.54</v>
      </c>
      <c r="J461" s="70" t="s">
        <v>43</v>
      </c>
      <c r="K461" s="73">
        <v>2.21</v>
      </c>
    </row>
    <row r="462" spans="1:11" ht="32.25" thickBot="1" x14ac:dyDescent="0.3">
      <c r="A462" s="67" t="s">
        <v>11</v>
      </c>
      <c r="B462" s="70">
        <v>176.71</v>
      </c>
      <c r="C462" s="70">
        <v>200</v>
      </c>
      <c r="D462" s="71">
        <v>11688</v>
      </c>
      <c r="E462" s="70">
        <v>26.85</v>
      </c>
      <c r="F462" s="70" t="s">
        <v>26</v>
      </c>
      <c r="G462" s="70">
        <v>19.63</v>
      </c>
      <c r="H462" s="73">
        <v>231.2</v>
      </c>
      <c r="I462" s="75">
        <v>72.78</v>
      </c>
      <c r="J462" s="70" t="s">
        <v>43</v>
      </c>
      <c r="K462" s="73">
        <v>2.37</v>
      </c>
    </row>
    <row r="463" spans="1:11" ht="32.25" thickBot="1" x14ac:dyDescent="0.3">
      <c r="A463" s="67" t="s">
        <v>11</v>
      </c>
      <c r="B463" s="70">
        <v>176.71</v>
      </c>
      <c r="C463" s="70">
        <v>100</v>
      </c>
      <c r="D463" s="71">
        <v>5844</v>
      </c>
      <c r="E463" s="70">
        <v>26.85</v>
      </c>
      <c r="F463" s="70" t="s">
        <v>26</v>
      </c>
      <c r="G463" s="70">
        <v>19.63</v>
      </c>
      <c r="H463" s="73">
        <v>378</v>
      </c>
      <c r="I463" s="75">
        <v>98.88</v>
      </c>
      <c r="J463" s="70" t="s">
        <v>43</v>
      </c>
      <c r="K463" s="73">
        <v>2.58</v>
      </c>
    </row>
    <row r="464" spans="1:11" ht="32.25" thickBot="1" x14ac:dyDescent="0.3">
      <c r="A464" s="67" t="s">
        <v>11</v>
      </c>
      <c r="B464" s="70">
        <v>176.71</v>
      </c>
      <c r="C464" s="70">
        <v>100</v>
      </c>
      <c r="D464" s="71">
        <v>17532</v>
      </c>
      <c r="E464" s="70">
        <v>26.85</v>
      </c>
      <c r="F464" s="70" t="s">
        <v>26</v>
      </c>
      <c r="G464" s="70">
        <v>19.63</v>
      </c>
      <c r="H464" s="73">
        <v>80.8</v>
      </c>
      <c r="I464" s="75">
        <v>91.86</v>
      </c>
      <c r="J464" s="70" t="s">
        <v>43</v>
      </c>
      <c r="K464" s="73">
        <v>1.91</v>
      </c>
    </row>
    <row r="465" spans="1:11" ht="32.25" thickBot="1" x14ac:dyDescent="0.3">
      <c r="A465" s="67" t="s">
        <v>11</v>
      </c>
      <c r="B465" s="70">
        <v>176.71</v>
      </c>
      <c r="C465" s="70">
        <v>200</v>
      </c>
      <c r="D465" s="71">
        <v>11688</v>
      </c>
      <c r="E465" s="70">
        <v>26.85</v>
      </c>
      <c r="F465" s="70" t="s">
        <v>9</v>
      </c>
      <c r="G465" s="70">
        <v>19.63</v>
      </c>
      <c r="H465" s="73">
        <v>214</v>
      </c>
      <c r="I465" s="75">
        <v>96.66</v>
      </c>
      <c r="J465" s="70" t="s">
        <v>43</v>
      </c>
      <c r="K465" s="73">
        <v>2.33</v>
      </c>
    </row>
    <row r="466" spans="1:11" ht="32.25" thickBot="1" x14ac:dyDescent="0.3">
      <c r="A466" s="67" t="s">
        <v>11</v>
      </c>
      <c r="B466" s="70">
        <v>176.71</v>
      </c>
      <c r="C466" s="70">
        <v>200</v>
      </c>
      <c r="D466" s="71">
        <v>11688</v>
      </c>
      <c r="E466" s="70">
        <v>26.85</v>
      </c>
      <c r="F466" s="70" t="s">
        <v>44</v>
      </c>
      <c r="G466" s="70">
        <v>19.63</v>
      </c>
      <c r="H466" s="73">
        <v>161.5</v>
      </c>
      <c r="I466" s="75">
        <v>100</v>
      </c>
      <c r="J466" s="70" t="s">
        <v>43</v>
      </c>
      <c r="K466" s="73">
        <v>2.21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2026-04-27T21:27:28Z</dcterms:created>
  <dcterms:modified xsi:type="dcterms:W3CDTF">2026-05-01T13:23:23Z</dcterms:modified>
</cp:coreProperties>
</file>